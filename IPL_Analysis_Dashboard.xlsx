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ownloads\Excel Deshboard\"/>
    </mc:Choice>
  </mc:AlternateContent>
  <xr:revisionPtr revIDLastSave="0" documentId="13_ncr:1_{8A1CCB88-5AE9-4393-ABBC-69D27259A37C}" xr6:coauthVersionLast="47" xr6:coauthVersionMax="47" xr10:uidLastSave="{00000000-0000-0000-0000-000000000000}"/>
  <bookViews>
    <workbookView xWindow="-110" yWindow="-110" windowWidth="19420" windowHeight="10300" xr2:uid="{00000000-000D-0000-FFFF-FFFF00000000}"/>
  </bookViews>
  <sheets>
    <sheet name="dashboard 1" sheetId="14" r:id="rId1"/>
    <sheet name="pivot table2" sheetId="15" r:id="rId2"/>
    <sheet name="questions" sheetId="11" r:id="rId3"/>
    <sheet name="toss decesion" sheetId="20" r:id="rId4"/>
    <sheet name="Dashboard_KPIs" sheetId="8" r:id="rId5"/>
    <sheet name="match by season" sheetId="19" r:id="rId6"/>
    <sheet name="Matches" sheetId="1" r:id="rId7"/>
    <sheet name="Batting_Data" sheetId="2" r:id="rId8"/>
    <sheet name="Bowling_Data" sheetId="3" r:id="rId9"/>
    <sheet name="Team_Wins" sheetId="4" r:id="rId10"/>
    <sheet name="Season_Analysis" sheetId="5" r:id="rId11"/>
    <sheet name="Top_Batsmen" sheetId="6" r:id="rId12"/>
    <sheet name="Top_Bowlers" sheetId="7" r:id="rId13"/>
    <sheet name="Dashboard_Plan" sheetId="9" r:id="rId14"/>
  </sheets>
  <definedNames>
    <definedName name="_xlnm._FilterDatabase" localSheetId="7" hidden="1">Batting_Data!$A$1:$I$501</definedName>
    <definedName name="_xlnm._FilterDatabase" localSheetId="8" hidden="1">Bowling_Data!$A$1:$H$501</definedName>
    <definedName name="_xlnm._FilterDatabase" localSheetId="4" hidden="1">Dashboard_KPIs!$A$1:$B$6</definedName>
    <definedName name="_xlnm._FilterDatabase" localSheetId="13" hidden="1">Dashboard_Plan!$A$1:$B$9</definedName>
    <definedName name="_xlnm._FilterDatabase" localSheetId="6" hidden="1">Matches!$A$1:$L$501</definedName>
    <definedName name="_xlnm._FilterDatabase" localSheetId="10" hidden="1">Season_Analysis!$A$1:$B$6</definedName>
    <definedName name="_xlnm._FilterDatabase" localSheetId="9" hidden="1">Team_Wins!$A$1:$B$11</definedName>
    <definedName name="_xlnm._FilterDatabase" localSheetId="11" hidden="1">Top_Batsmen!$A$1:$B$11</definedName>
    <definedName name="_xlnm._FilterDatabase" localSheetId="12" hidden="1">Top_Bowlers!$A$1:$B$11</definedName>
    <definedName name="_xlcn.WorksheetConnection_IPL_500_Rows_Dashboard_Dataset.xlsxTable11" hidden="1">Table1[]</definedName>
    <definedName name="_xlcn.WorksheetConnection_IPL_500_Rows_Dashboard_Dataset.xlsxTable21" hidden="1">Table2[]</definedName>
    <definedName name="_xlcn.WorksheetConnection_IPL_500_Rows_Dashboard_Dataset.xlsxTable31" hidden="1">Table3[]</definedName>
    <definedName name="_xlcn.WorksheetConnection_IPL_500_Rows_Dashboard_Dataset.xlsxTable41" hidden="1">Table4[]</definedName>
    <definedName name="Slicer_Season">#N/A</definedName>
    <definedName name="Slicer_Team">#N/A</definedName>
    <definedName name="Slicer_Venue">#N/A</definedName>
  </definedNames>
  <calcPr calcId="191029"/>
  <pivotCaches>
    <pivotCache cacheId="208" r:id="rId15"/>
    <pivotCache cacheId="210" r:id="rId16"/>
    <pivotCache cacheId="212" r:id="rId17"/>
    <pivotCache cacheId="214" r:id="rId18"/>
    <pivotCache cacheId="216" r:id="rId19"/>
    <pivotCache cacheId="218" r:id="rId20"/>
    <pivotCache cacheId="220" r:id="rId21"/>
    <pivotCache cacheId="225" r:id="rId22"/>
    <pivotCache cacheId="227" r:id="rId23"/>
    <pivotCache cacheId="223" r:id="rId24"/>
    <pivotCache cacheId="236" r:id="rId25"/>
  </pivotCaches>
  <extLst>
    <ext xmlns:x14="http://schemas.microsoft.com/office/spreadsheetml/2009/9/main" uri="{876F7934-8845-4945-9796-88D515C7AA90}">
      <x14:pivotCaches>
        <pivotCache cacheId="11"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IPL_500_Rows_Dashboard_Dataset.xlsx!Table4"/>
          <x15:modelTable id="Table3" name="Table3" connection="WorksheetConnection_IPL_500_Rows_Dashboard_Dataset.xlsx!Table3"/>
          <x15:modelTable id="Table2" name="Table2" connection="WorksheetConnection_IPL_500_Rows_Dashboard_Dataset.xlsx!Table2"/>
          <x15:modelTable id="Table1" name="Table1" connection="WorksheetConnection_IPL_500_Rows_Dashboard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 i="5" l="1"/>
  <c r="B6" i="8"/>
  <c r="B5" i="8"/>
  <c r="B4" i="8"/>
  <c r="B3" i="8"/>
  <c r="B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927CAD-DBDD-4561-A5F8-0D0EA95B6E0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F17B554-D872-4391-9347-81F2338966D8}" name="WorksheetConnection_IPL_500_Rows_Dashboard_Dataset.xlsx!Table1" type="102" refreshedVersion="7" minRefreshableVersion="5">
    <extLst>
      <ext xmlns:x15="http://schemas.microsoft.com/office/spreadsheetml/2010/11/main" uri="{DE250136-89BD-433C-8126-D09CA5730AF9}">
        <x15:connection id="Table1" autoDelete="1">
          <x15:rangePr sourceName="_xlcn.WorksheetConnection_IPL_500_Rows_Dashboard_Dataset.xlsxTable11"/>
        </x15:connection>
      </ext>
    </extLst>
  </connection>
  <connection id="3" xr16:uid="{370B90F8-3D2F-4035-985B-9D167AE075A5}" name="WorksheetConnection_IPL_500_Rows_Dashboard_Dataset.xlsx!Table2" type="102" refreshedVersion="7" minRefreshableVersion="5">
    <extLst>
      <ext xmlns:x15="http://schemas.microsoft.com/office/spreadsheetml/2010/11/main" uri="{DE250136-89BD-433C-8126-D09CA5730AF9}">
        <x15:connection id="Table2">
          <x15:rangePr sourceName="_xlcn.WorksheetConnection_IPL_500_Rows_Dashboard_Dataset.xlsxTable21"/>
        </x15:connection>
      </ext>
    </extLst>
  </connection>
  <connection id="4" xr16:uid="{118F78D4-D239-488F-ACBC-A099A0774A2B}" name="WorksheetConnection_IPL_500_Rows_Dashboard_Dataset.xlsx!Table3" type="102" refreshedVersion="7" minRefreshableVersion="5">
    <extLst>
      <ext xmlns:x15="http://schemas.microsoft.com/office/spreadsheetml/2010/11/main" uri="{DE250136-89BD-433C-8126-D09CA5730AF9}">
        <x15:connection id="Table3">
          <x15:rangePr sourceName="_xlcn.WorksheetConnection_IPL_500_Rows_Dashboard_Dataset.xlsxTable31"/>
        </x15:connection>
      </ext>
    </extLst>
  </connection>
  <connection id="5" xr16:uid="{98114067-0E42-4394-8173-CBC926EE564D}" name="WorksheetConnection_IPL_500_Rows_Dashboard_Dataset.xlsx!Table4" type="102" refreshedVersion="7" minRefreshableVersion="5">
    <extLst>
      <ext xmlns:x15="http://schemas.microsoft.com/office/spreadsheetml/2010/11/main" uri="{DE250136-89BD-433C-8126-D09CA5730AF9}">
        <x15:connection id="Table4">
          <x15:rangePr sourceName="_xlcn.WorksheetConnection_IPL_500_Rows_Dashboard_Dataset.xlsxTable41"/>
        </x15:connection>
      </ext>
    </extLst>
  </connection>
</connections>
</file>

<file path=xl/sharedStrings.xml><?xml version="1.0" encoding="utf-8"?>
<sst xmlns="http://schemas.openxmlformats.org/spreadsheetml/2006/main" count="6740" uniqueCount="616">
  <si>
    <t>Match_ID</t>
  </si>
  <si>
    <t>Season</t>
  </si>
  <si>
    <t>Date</t>
  </si>
  <si>
    <t>Venue</t>
  </si>
  <si>
    <t>Team1</t>
  </si>
  <si>
    <t>Team2</t>
  </si>
  <si>
    <t>Toss_Winner</t>
  </si>
  <si>
    <t>Toss_Decision</t>
  </si>
  <si>
    <t>Winner</t>
  </si>
  <si>
    <t>Player_of_Match</t>
  </si>
  <si>
    <t>Result</t>
  </si>
  <si>
    <t>Result_Margin</t>
  </si>
  <si>
    <t>2021-03-07</t>
  </si>
  <si>
    <t>Arun Jaitley Stadium</t>
  </si>
  <si>
    <t>CSK</t>
  </si>
  <si>
    <t>RR</t>
  </si>
  <si>
    <t>Bat</t>
  </si>
  <si>
    <t>Suryakumar Yadav</t>
  </si>
  <si>
    <t>Runs</t>
  </si>
  <si>
    <t>2024-04-21</t>
  </si>
  <si>
    <t>Narendra Modi Stadium</t>
  </si>
  <si>
    <t>MI</t>
  </si>
  <si>
    <t>KKR</t>
  </si>
  <si>
    <t>David Warner</t>
  </si>
  <si>
    <t>Wickets</t>
  </si>
  <si>
    <t>2021-07-29</t>
  </si>
  <si>
    <t>Rajiv Gandhi International Stadium</t>
  </si>
  <si>
    <t>RCB</t>
  </si>
  <si>
    <t>Field</t>
  </si>
  <si>
    <t>Ruturaj Gaikwad</t>
  </si>
  <si>
    <t>2023-02-15</t>
  </si>
  <si>
    <t>M Chinnaswamy Stadium</t>
  </si>
  <si>
    <t>DC</t>
  </si>
  <si>
    <t>Virat Kohli</t>
  </si>
  <si>
    <t>2021-06-13</t>
  </si>
  <si>
    <t>Sawai Mansingh Stadium</t>
  </si>
  <si>
    <t>GT</t>
  </si>
  <si>
    <t>2024-10-04</t>
  </si>
  <si>
    <t>Eden Gardens</t>
  </si>
  <si>
    <t>Shubman Gill</t>
  </si>
  <si>
    <t>2024-11-03</t>
  </si>
  <si>
    <t>Sunil Narine</t>
  </si>
  <si>
    <t>2025-11-30</t>
  </si>
  <si>
    <t>Punjab Cricket Association Stadium</t>
  </si>
  <si>
    <t>KL Rahul</t>
  </si>
  <si>
    <t>2024-01-09</t>
  </si>
  <si>
    <t>Ekana Cricket Stadium</t>
  </si>
  <si>
    <t>PBKS</t>
  </si>
  <si>
    <t>2025-10-30</t>
  </si>
  <si>
    <t>Wankhede Stadium</t>
  </si>
  <si>
    <t>LSG</t>
  </si>
  <si>
    <t>2024-02-08</t>
  </si>
  <si>
    <t>2021-01-07</t>
  </si>
  <si>
    <t>Rishabh Pant</t>
  </si>
  <si>
    <t>2025-05-14</t>
  </si>
  <si>
    <t>2022-05-09</t>
  </si>
  <si>
    <t>SRH</t>
  </si>
  <si>
    <t>Andre Russell</t>
  </si>
  <si>
    <t>2022-06-27</t>
  </si>
  <si>
    <t>MA Chidambaram Stadium</t>
  </si>
  <si>
    <t>2023-07-14</t>
  </si>
  <si>
    <t>2021-01-15</t>
  </si>
  <si>
    <t>Faf du Plessis</t>
  </si>
  <si>
    <t>2022-03-15</t>
  </si>
  <si>
    <t>MS Dhoni</t>
  </si>
  <si>
    <t>2022-12-27</t>
  </si>
  <si>
    <t>Sanju Samson</t>
  </si>
  <si>
    <t>2022-01-28</t>
  </si>
  <si>
    <t>2023-06-27</t>
  </si>
  <si>
    <t>2022-03-14</t>
  </si>
  <si>
    <t>2024-11-27</t>
  </si>
  <si>
    <t>2021-04-28</t>
  </si>
  <si>
    <t>2024-10-14</t>
  </si>
  <si>
    <t>2024-10-03</t>
  </si>
  <si>
    <t>Rinku Singh</t>
  </si>
  <si>
    <t>2023-07-28</t>
  </si>
  <si>
    <t>Yashasvi Jaiswal</t>
  </si>
  <si>
    <t>2023-01-27</t>
  </si>
  <si>
    <t>2021-08-08</t>
  </si>
  <si>
    <t>2022-05-30</t>
  </si>
  <si>
    <t>2021-11-27</t>
  </si>
  <si>
    <t>Shreyas Iyer</t>
  </si>
  <si>
    <t>2024-04-07</t>
  </si>
  <si>
    <t>2022-03-07</t>
  </si>
  <si>
    <t>2021-02-20</t>
  </si>
  <si>
    <t>2022-04-01</t>
  </si>
  <si>
    <t>2022-07-25</t>
  </si>
  <si>
    <t>Rohit Sharma</t>
  </si>
  <si>
    <t>2022-06-28</t>
  </si>
  <si>
    <t>2022-01-25</t>
  </si>
  <si>
    <t>Hardik Pandya</t>
  </si>
  <si>
    <t>2024-06-30</t>
  </si>
  <si>
    <t>2025-05-29</t>
  </si>
  <si>
    <t>2022-08-05</t>
  </si>
  <si>
    <t>2021-04-05</t>
  </si>
  <si>
    <t>Jos Buttler</t>
  </si>
  <si>
    <t>2021-10-30</t>
  </si>
  <si>
    <t>2023-07-24</t>
  </si>
  <si>
    <t>2023-07-11</t>
  </si>
  <si>
    <t>2022-04-26</t>
  </si>
  <si>
    <t>2021-05-12</t>
  </si>
  <si>
    <t>2024-11-25</t>
  </si>
  <si>
    <t>2025-03-11</t>
  </si>
  <si>
    <t>2022-11-20</t>
  </si>
  <si>
    <t>2021-10-05</t>
  </si>
  <si>
    <t>2025-04-08</t>
  </si>
  <si>
    <t>2024-08-24</t>
  </si>
  <si>
    <t>2023-08-28</t>
  </si>
  <si>
    <t>2022-09-30</t>
  </si>
  <si>
    <t>2021-07-28</t>
  </si>
  <si>
    <t>2021-01-26</t>
  </si>
  <si>
    <t>2024-08-25</t>
  </si>
  <si>
    <t>2025-08-29</t>
  </si>
  <si>
    <t>2022-01-08</t>
  </si>
  <si>
    <t>2023-11-25</t>
  </si>
  <si>
    <t>2021-07-10</t>
  </si>
  <si>
    <t>Travis Head</t>
  </si>
  <si>
    <t>2022-11-09</t>
  </si>
  <si>
    <t>2025-03-02</t>
  </si>
  <si>
    <t>2022-08-30</t>
  </si>
  <si>
    <t>2022-08-22</t>
  </si>
  <si>
    <t>2021-04-16</t>
  </si>
  <si>
    <t>2025-07-20</t>
  </si>
  <si>
    <t>2023-02-19</t>
  </si>
  <si>
    <t>2024-07-05</t>
  </si>
  <si>
    <t>2023-04-17</t>
  </si>
  <si>
    <t>2024-11-08</t>
  </si>
  <si>
    <t>2021-05-03</t>
  </si>
  <si>
    <t>2024-01-11</t>
  </si>
  <si>
    <t>2022-04-14</t>
  </si>
  <si>
    <t>2024-04-13</t>
  </si>
  <si>
    <t>2022-11-07</t>
  </si>
  <si>
    <t>2021-08-26</t>
  </si>
  <si>
    <t>2024-07-04</t>
  </si>
  <si>
    <t>2024-07-14</t>
  </si>
  <si>
    <t>2023-08-04</t>
  </si>
  <si>
    <t>2024-02-03</t>
  </si>
  <si>
    <t>2025-08-08</t>
  </si>
  <si>
    <t>2024-02-05</t>
  </si>
  <si>
    <t>2021-03-31</t>
  </si>
  <si>
    <t>2022-11-11</t>
  </si>
  <si>
    <t>2025-05-20</t>
  </si>
  <si>
    <t>2024-06-18</t>
  </si>
  <si>
    <t>2024-11-22</t>
  </si>
  <si>
    <t>2022-05-16</t>
  </si>
  <si>
    <t>2023-10-17</t>
  </si>
  <si>
    <t>2022-08-13</t>
  </si>
  <si>
    <t>2022-02-12</t>
  </si>
  <si>
    <t>2025-08-27</t>
  </si>
  <si>
    <t>2024-06-25</t>
  </si>
  <si>
    <t>2022-08-28</t>
  </si>
  <si>
    <t>2025-08-16</t>
  </si>
  <si>
    <t>Abhishek Sharma</t>
  </si>
  <si>
    <t>2025-09-29</t>
  </si>
  <si>
    <t>2024-10-09</t>
  </si>
  <si>
    <t>2022-11-03</t>
  </si>
  <si>
    <t>2022-09-16</t>
  </si>
  <si>
    <t>2024-04-17</t>
  </si>
  <si>
    <t>2023-06-30</t>
  </si>
  <si>
    <t>2025-10-03</t>
  </si>
  <si>
    <t>2022-02-25</t>
  </si>
  <si>
    <t>2021-09-24</t>
  </si>
  <si>
    <t>2022-10-26</t>
  </si>
  <si>
    <t>2023-09-03</t>
  </si>
  <si>
    <t>2022-09-10</t>
  </si>
  <si>
    <t>2021-06-15</t>
  </si>
  <si>
    <t>2023-12-23</t>
  </si>
  <si>
    <t>2022-04-13</t>
  </si>
  <si>
    <t>2023-02-06</t>
  </si>
  <si>
    <t>2025-07-21</t>
  </si>
  <si>
    <t>2024-05-14</t>
  </si>
  <si>
    <t>2023-01-23</t>
  </si>
  <si>
    <t>2022-11-27</t>
  </si>
  <si>
    <t>2022-03-17</t>
  </si>
  <si>
    <t>2021-06-23</t>
  </si>
  <si>
    <t>2023-06-25</t>
  </si>
  <si>
    <t>2023-12-16</t>
  </si>
  <si>
    <t>2025-04-15</t>
  </si>
  <si>
    <t>2023-12-27</t>
  </si>
  <si>
    <t>2021-06-09</t>
  </si>
  <si>
    <t>2021-12-18</t>
  </si>
  <si>
    <t>2023-12-10</t>
  </si>
  <si>
    <t>2021-12-22</t>
  </si>
  <si>
    <t>2022-10-24</t>
  </si>
  <si>
    <t>2022-12-22</t>
  </si>
  <si>
    <t>2024-08-13</t>
  </si>
  <si>
    <t>2023-09-02</t>
  </si>
  <si>
    <t>2024-12-20</t>
  </si>
  <si>
    <t>2024-10-22</t>
  </si>
  <si>
    <t>2025-01-22</t>
  </si>
  <si>
    <t>2024-12-22</t>
  </si>
  <si>
    <t>2023-11-08</t>
  </si>
  <si>
    <t>2021-10-09</t>
  </si>
  <si>
    <t>2021-11-12</t>
  </si>
  <si>
    <t>2022-08-07</t>
  </si>
  <si>
    <t>2021-04-17</t>
  </si>
  <si>
    <t>2023-11-18</t>
  </si>
  <si>
    <t>2023-10-26</t>
  </si>
  <si>
    <t>2025-06-09</t>
  </si>
  <si>
    <t>2021-06-12</t>
  </si>
  <si>
    <t>2021-04-08</t>
  </si>
  <si>
    <t>2024-03-23</t>
  </si>
  <si>
    <t>2023-12-09</t>
  </si>
  <si>
    <t>2022-12-23</t>
  </si>
  <si>
    <t>2021-03-17</t>
  </si>
  <si>
    <t>2022-06-03</t>
  </si>
  <si>
    <t>2023-06-14</t>
  </si>
  <si>
    <t>2025-06-29</t>
  </si>
  <si>
    <t>2024-09-15</t>
  </si>
  <si>
    <t>2024-06-13</t>
  </si>
  <si>
    <t>2025-10-05</t>
  </si>
  <si>
    <t>2021-03-08</t>
  </si>
  <si>
    <t>2023-03-27</t>
  </si>
  <si>
    <t>2022-06-21</t>
  </si>
  <si>
    <t>2023-07-15</t>
  </si>
  <si>
    <t>2024-12-28</t>
  </si>
  <si>
    <t>2021-02-23</t>
  </si>
  <si>
    <t>2023-12-13</t>
  </si>
  <si>
    <t>2021-09-20</t>
  </si>
  <si>
    <t>2021-11-28</t>
  </si>
  <si>
    <t>2024-06-12</t>
  </si>
  <si>
    <t>2025-08-18</t>
  </si>
  <si>
    <t>2022-08-17</t>
  </si>
  <si>
    <t>2023-05-02</t>
  </si>
  <si>
    <t>2025-04-07</t>
  </si>
  <si>
    <t>2022-05-23</t>
  </si>
  <si>
    <t>2024-03-29</t>
  </si>
  <si>
    <t>2023-03-17</t>
  </si>
  <si>
    <t>2025-09-23</t>
  </si>
  <si>
    <t>2023-01-20</t>
  </si>
  <si>
    <t>2025-03-27</t>
  </si>
  <si>
    <t>2025-07-05</t>
  </si>
  <si>
    <t>2024-06-16</t>
  </si>
  <si>
    <t>2023-05-04</t>
  </si>
  <si>
    <t>2024-07-12</t>
  </si>
  <si>
    <t>2023-05-08</t>
  </si>
  <si>
    <t>2024-09-18</t>
  </si>
  <si>
    <t>2024-10-16</t>
  </si>
  <si>
    <t>2025-04-29</t>
  </si>
  <si>
    <t>2024-03-20</t>
  </si>
  <si>
    <t>2022-05-06</t>
  </si>
  <si>
    <t>2021-07-25</t>
  </si>
  <si>
    <t>2022-10-20</t>
  </si>
  <si>
    <t>2025-09-09</t>
  </si>
  <si>
    <t>2022-08-06</t>
  </si>
  <si>
    <t>2025-10-20</t>
  </si>
  <si>
    <t>2022-10-25</t>
  </si>
  <si>
    <t>2025-01-20</t>
  </si>
  <si>
    <t>2023-04-11</t>
  </si>
  <si>
    <t>2023-07-21</t>
  </si>
  <si>
    <t>2023-12-18</t>
  </si>
  <si>
    <t>2021-08-27</t>
  </si>
  <si>
    <t>2023-07-25</t>
  </si>
  <si>
    <t>2024-03-30</t>
  </si>
  <si>
    <t>2023-04-18</t>
  </si>
  <si>
    <t>2021-09-30</t>
  </si>
  <si>
    <t>2024-10-11</t>
  </si>
  <si>
    <t>2022-01-22</t>
  </si>
  <si>
    <t>2023-07-04</t>
  </si>
  <si>
    <t>2021-10-14</t>
  </si>
  <si>
    <t>2022-03-29</t>
  </si>
  <si>
    <t>2024-08-10</t>
  </si>
  <si>
    <t>2023-12-22</t>
  </si>
  <si>
    <t>2024-01-02</t>
  </si>
  <si>
    <t>2025-11-16</t>
  </si>
  <si>
    <t>2024-12-12</t>
  </si>
  <si>
    <t>2023-01-07</t>
  </si>
  <si>
    <t>2021-04-04</t>
  </si>
  <si>
    <t>2022-04-17</t>
  </si>
  <si>
    <t>2025-02-09</t>
  </si>
  <si>
    <t>2025-08-03</t>
  </si>
  <si>
    <t>2023-07-23</t>
  </si>
  <si>
    <t>2023-12-21</t>
  </si>
  <si>
    <t>2023-07-30</t>
  </si>
  <si>
    <t>2024-02-06</t>
  </si>
  <si>
    <t>2024-09-09</t>
  </si>
  <si>
    <t>2024-02-29</t>
  </si>
  <si>
    <t>2023-06-15</t>
  </si>
  <si>
    <t>2022-12-30</t>
  </si>
  <si>
    <t>2021-06-18</t>
  </si>
  <si>
    <t>2022-09-24</t>
  </si>
  <si>
    <t>2024-02-11</t>
  </si>
  <si>
    <t>2025-05-26</t>
  </si>
  <si>
    <t>2021-12-14</t>
  </si>
  <si>
    <t>2023-06-10</t>
  </si>
  <si>
    <t>2024-05-01</t>
  </si>
  <si>
    <t>2023-02-18</t>
  </si>
  <si>
    <t>2021-12-30</t>
  </si>
  <si>
    <t>2021-08-22</t>
  </si>
  <si>
    <t>2025-08-05</t>
  </si>
  <si>
    <t>2023-07-09</t>
  </si>
  <si>
    <t>2024-09-08</t>
  </si>
  <si>
    <t>2022-03-31</t>
  </si>
  <si>
    <t>2021-11-05</t>
  </si>
  <si>
    <t>2022-12-15</t>
  </si>
  <si>
    <t>2022-10-16</t>
  </si>
  <si>
    <t>2023-11-23</t>
  </si>
  <si>
    <t>2024-08-04</t>
  </si>
  <si>
    <t>2022-02-26</t>
  </si>
  <si>
    <t>2024-10-05</t>
  </si>
  <si>
    <t>2021-12-20</t>
  </si>
  <si>
    <t>2023-02-04</t>
  </si>
  <si>
    <t>2024-11-21</t>
  </si>
  <si>
    <t>2021-04-20</t>
  </si>
  <si>
    <t>2024-01-07</t>
  </si>
  <si>
    <t>2025-04-06</t>
  </si>
  <si>
    <t>2021-10-13</t>
  </si>
  <si>
    <t>2022-07-02</t>
  </si>
  <si>
    <t>2024-12-27</t>
  </si>
  <si>
    <t>2024-07-21</t>
  </si>
  <si>
    <t>2025-11-15</t>
  </si>
  <si>
    <t>2021-02-03</t>
  </si>
  <si>
    <t>2021-11-22</t>
  </si>
  <si>
    <t>2025-01-26</t>
  </si>
  <si>
    <t>2022-04-09</t>
  </si>
  <si>
    <t>2024-08-06</t>
  </si>
  <si>
    <t>2023-04-24</t>
  </si>
  <si>
    <t>2022-10-07</t>
  </si>
  <si>
    <t>2024-05-27</t>
  </si>
  <si>
    <t>2023-10-21</t>
  </si>
  <si>
    <t>2023-01-19</t>
  </si>
  <si>
    <t>2021-05-04</t>
  </si>
  <si>
    <t>2022-09-27</t>
  </si>
  <si>
    <t>2025-02-03</t>
  </si>
  <si>
    <t>2021-09-02</t>
  </si>
  <si>
    <t>2021-09-17</t>
  </si>
  <si>
    <t>2024-07-09</t>
  </si>
  <si>
    <t>2022-06-07</t>
  </si>
  <si>
    <t>2023-01-16</t>
  </si>
  <si>
    <t>2022-07-10</t>
  </si>
  <si>
    <t>2025-12-02</t>
  </si>
  <si>
    <t>2023-04-20</t>
  </si>
  <si>
    <t>2025-09-28</t>
  </si>
  <si>
    <t>2021-06-03</t>
  </si>
  <si>
    <t>2024-12-06</t>
  </si>
  <si>
    <t>2021-08-12</t>
  </si>
  <si>
    <t>2025-04-27</t>
  </si>
  <si>
    <t>2025-08-20</t>
  </si>
  <si>
    <t>2021-04-11</t>
  </si>
  <si>
    <t>2021-09-08</t>
  </si>
  <si>
    <t>2024-06-17</t>
  </si>
  <si>
    <t>2023-05-09</t>
  </si>
  <si>
    <t>2021-04-30</t>
  </si>
  <si>
    <t>2025-07-30</t>
  </si>
  <si>
    <t>2021-02-27</t>
  </si>
  <si>
    <t>2021-04-26</t>
  </si>
  <si>
    <t>2022-11-29</t>
  </si>
  <si>
    <t>2024-12-13</t>
  </si>
  <si>
    <t>2025-06-10</t>
  </si>
  <si>
    <t>2021-08-02</t>
  </si>
  <si>
    <t>2025-08-10</t>
  </si>
  <si>
    <t>2025-01-15</t>
  </si>
  <si>
    <t>2024-01-24</t>
  </si>
  <si>
    <t>2022-10-15</t>
  </si>
  <si>
    <t>2022-11-24</t>
  </si>
  <si>
    <t>2021-07-27</t>
  </si>
  <si>
    <t>2023-03-16</t>
  </si>
  <si>
    <t>2025-08-15</t>
  </si>
  <si>
    <t>2025-09-25</t>
  </si>
  <si>
    <t>2023-02-21</t>
  </si>
  <si>
    <t>2024-03-01</t>
  </si>
  <si>
    <t>2025-09-18</t>
  </si>
  <si>
    <t>2021-09-16</t>
  </si>
  <si>
    <t>2021-06-28</t>
  </si>
  <si>
    <t>2021-11-03</t>
  </si>
  <si>
    <t>2023-02-24</t>
  </si>
  <si>
    <t>2024-10-26</t>
  </si>
  <si>
    <t>2022-11-23</t>
  </si>
  <si>
    <t>2022-07-06</t>
  </si>
  <si>
    <t>2025-08-09</t>
  </si>
  <si>
    <t>2025-11-28</t>
  </si>
  <si>
    <t>2025-08-14</t>
  </si>
  <si>
    <t>2023-03-03</t>
  </si>
  <si>
    <t>2025-11-06</t>
  </si>
  <si>
    <t>2023-02-11</t>
  </si>
  <si>
    <t>2021-01-16</t>
  </si>
  <si>
    <t>2025-07-08</t>
  </si>
  <si>
    <t>2023-03-07</t>
  </si>
  <si>
    <t>2022-01-06</t>
  </si>
  <si>
    <t>2022-04-03</t>
  </si>
  <si>
    <t>2025-11-10</t>
  </si>
  <si>
    <t>2025-11-19</t>
  </si>
  <si>
    <t>2023-09-26</t>
  </si>
  <si>
    <t>2024-03-26</t>
  </si>
  <si>
    <t>2021-01-10</t>
  </si>
  <si>
    <t>2024-07-07</t>
  </si>
  <si>
    <t>2025-03-17</t>
  </si>
  <si>
    <t>2024-04-22</t>
  </si>
  <si>
    <t>2024-09-17</t>
  </si>
  <si>
    <t>2023-08-30</t>
  </si>
  <si>
    <t>2022-02-14</t>
  </si>
  <si>
    <t>2022-03-02</t>
  </si>
  <si>
    <t>2025-05-16</t>
  </si>
  <si>
    <t>2021-07-24</t>
  </si>
  <si>
    <t>2021-01-20</t>
  </si>
  <si>
    <t>2024-11-26</t>
  </si>
  <si>
    <t>2021-03-01</t>
  </si>
  <si>
    <t>2021-11-01</t>
  </si>
  <si>
    <t>2022-10-19</t>
  </si>
  <si>
    <t>2023-06-29</t>
  </si>
  <si>
    <t>2023-04-07</t>
  </si>
  <si>
    <t>2022-11-30</t>
  </si>
  <si>
    <t>2025-04-05</t>
  </si>
  <si>
    <t>2023-10-06</t>
  </si>
  <si>
    <t>2021-10-03</t>
  </si>
  <si>
    <t>2022-12-04</t>
  </si>
  <si>
    <t>2022-02-16</t>
  </si>
  <si>
    <t>2024-02-26</t>
  </si>
  <si>
    <t>2021-10-25</t>
  </si>
  <si>
    <t>2024-11-15</t>
  </si>
  <si>
    <t>2023-03-08</t>
  </si>
  <si>
    <t>2021-01-27</t>
  </si>
  <si>
    <t>2024-10-30</t>
  </si>
  <si>
    <t>2024-05-07</t>
  </si>
  <si>
    <t>2021-05-20</t>
  </si>
  <si>
    <t>2022-11-10</t>
  </si>
  <si>
    <t>2024-06-26</t>
  </si>
  <si>
    <t>2025-08-11</t>
  </si>
  <si>
    <t>2021-12-31</t>
  </si>
  <si>
    <t>2022-10-10</t>
  </si>
  <si>
    <t>2023-12-29</t>
  </si>
  <si>
    <t>2021-10-17</t>
  </si>
  <si>
    <t>2024-08-15</t>
  </si>
  <si>
    <t>2025-10-12</t>
  </si>
  <si>
    <t>2023-09-25</t>
  </si>
  <si>
    <t>2022-10-13</t>
  </si>
  <si>
    <t>2022-10-04</t>
  </si>
  <si>
    <t>2023-01-05</t>
  </si>
  <si>
    <t>2022-02-07</t>
  </si>
  <si>
    <t>2024-02-04</t>
  </si>
  <si>
    <t>2025-02-10</t>
  </si>
  <si>
    <t>2023-11-27</t>
  </si>
  <si>
    <t>2023-02-10</t>
  </si>
  <si>
    <t>2023-06-20</t>
  </si>
  <si>
    <t>2025-01-09</t>
  </si>
  <si>
    <t>2021-10-28</t>
  </si>
  <si>
    <t>2022-06-26</t>
  </si>
  <si>
    <t>2022-02-19</t>
  </si>
  <si>
    <t>2023-10-28</t>
  </si>
  <si>
    <t>2024-11-29</t>
  </si>
  <si>
    <t>2022-06-06</t>
  </si>
  <si>
    <t>2021-11-13</t>
  </si>
  <si>
    <t>2023-04-27</t>
  </si>
  <si>
    <t>2025-05-05</t>
  </si>
  <si>
    <t>2023-06-11</t>
  </si>
  <si>
    <t>2023-04-01</t>
  </si>
  <si>
    <t>2022-08-09</t>
  </si>
  <si>
    <t>2021-11-19</t>
  </si>
  <si>
    <t>2025-02-18</t>
  </si>
  <si>
    <t>2025-05-08</t>
  </si>
  <si>
    <t>2025-06-27</t>
  </si>
  <si>
    <t>2021-06-05</t>
  </si>
  <si>
    <t>2023-10-19</t>
  </si>
  <si>
    <t>2022-12-31</t>
  </si>
  <si>
    <t>2023-01-31</t>
  </si>
  <si>
    <t>2023-07-26</t>
  </si>
  <si>
    <t>2022-10-29</t>
  </si>
  <si>
    <t>2022-01-04</t>
  </si>
  <si>
    <t>2021-10-26</t>
  </si>
  <si>
    <t>2022-05-29</t>
  </si>
  <si>
    <t>2023-02-20</t>
  </si>
  <si>
    <t>2025-05-19</t>
  </si>
  <si>
    <t>2024-01-29</t>
  </si>
  <si>
    <t>2022-09-26</t>
  </si>
  <si>
    <t>2024-09-20</t>
  </si>
  <si>
    <t>2023-06-24</t>
  </si>
  <si>
    <t>2022-12-06</t>
  </si>
  <si>
    <t>2025-06-23</t>
  </si>
  <si>
    <t>2021-12-01</t>
  </si>
  <si>
    <t>2025-07-15</t>
  </si>
  <si>
    <t>2024-06-19</t>
  </si>
  <si>
    <t>2022-01-16</t>
  </si>
  <si>
    <t>2023-10-08</t>
  </si>
  <si>
    <t>2025-09-24</t>
  </si>
  <si>
    <t>2025-08-01</t>
  </si>
  <si>
    <t>2025-02-14</t>
  </si>
  <si>
    <t>2025-03-06</t>
  </si>
  <si>
    <t>2021-08-20</t>
  </si>
  <si>
    <t>2021-01-19</t>
  </si>
  <si>
    <t>2024-11-05</t>
  </si>
  <si>
    <t>2022-04-22</t>
  </si>
  <si>
    <t>2021-03-22</t>
  </si>
  <si>
    <t>2023-01-22</t>
  </si>
  <si>
    <t>2024-08-05</t>
  </si>
  <si>
    <t>2023-09-22</t>
  </si>
  <si>
    <t>2025-01-10</t>
  </si>
  <si>
    <t>2023-05-01</t>
  </si>
  <si>
    <t>2023-10-31</t>
  </si>
  <si>
    <t>2021-01-01</t>
  </si>
  <si>
    <t>2021-02-14</t>
  </si>
  <si>
    <t>2025-02-12</t>
  </si>
  <si>
    <t>2021-01-24</t>
  </si>
  <si>
    <t>2023-09-12</t>
  </si>
  <si>
    <t>2022-02-13</t>
  </si>
  <si>
    <t>2021-01-29</t>
  </si>
  <si>
    <t>Team</t>
  </si>
  <si>
    <t>Player</t>
  </si>
  <si>
    <t>Balls</t>
  </si>
  <si>
    <t>4s</t>
  </si>
  <si>
    <t>6s</t>
  </si>
  <si>
    <t>Strike_Rate</t>
  </si>
  <si>
    <t>Bowler</t>
  </si>
  <si>
    <t>Overs</t>
  </si>
  <si>
    <t>Runs_Conceded</t>
  </si>
  <si>
    <t>Economy</t>
  </si>
  <si>
    <t>Rashid Khan</t>
  </si>
  <si>
    <t>Yuzvendra Chahal</t>
  </si>
  <si>
    <t>Bhuvneshwar Kumar</t>
  </si>
  <si>
    <t>Mohammed Shami</t>
  </si>
  <si>
    <t>Ravindra Jadeja</t>
  </si>
  <si>
    <t>Varun Chakravarthy</t>
  </si>
  <si>
    <t>Matheesha Pathirana</t>
  </si>
  <si>
    <t>Mohammed Siraj</t>
  </si>
  <si>
    <t>Kuldeep Yadav</t>
  </si>
  <si>
    <t>T Natarajan</t>
  </si>
  <si>
    <t>Trent Boult</t>
  </si>
  <si>
    <t>Jasprit Bumrah</t>
  </si>
  <si>
    <t>Arshdeep Singh</t>
  </si>
  <si>
    <t>Pat Cummins</t>
  </si>
  <si>
    <t>Wins</t>
  </si>
  <si>
    <t>Matches</t>
  </si>
  <si>
    <t>Dashboard_KPI</t>
  </si>
  <si>
    <t>Excel_Calculation</t>
  </si>
  <si>
    <t>Total Matches</t>
  </si>
  <si>
    <t>Total Runs</t>
  </si>
  <si>
    <t>Total 4s</t>
  </si>
  <si>
    <t>Total 6s</t>
  </si>
  <si>
    <t>Total Wickets</t>
  </si>
  <si>
    <t>Dashboard_Element</t>
  </si>
  <si>
    <t>Recommended_Chart</t>
  </si>
  <si>
    <t>KPI Cards</t>
  </si>
  <si>
    <t>Cards</t>
  </si>
  <si>
    <t>Wins by Team</t>
  </si>
  <si>
    <t>Bar Chart</t>
  </si>
  <si>
    <t>Matches by Season</t>
  </si>
  <si>
    <t>Column/Line Chart</t>
  </si>
  <si>
    <t>Top 10 Run Scorers</t>
  </si>
  <si>
    <t>Horizontal Bar</t>
  </si>
  <si>
    <t>Top 10 Wicket Takers</t>
  </si>
  <si>
    <t>Toss Decision Analysis</t>
  </si>
  <si>
    <t>Stacked Column</t>
  </si>
  <si>
    <t>Venue Analysis</t>
  </si>
  <si>
    <t>Column Chart</t>
  </si>
  <si>
    <t>Slicers: Season, Team, Venue, Player</t>
  </si>
  <si>
    <t>Slicers</t>
  </si>
  <si>
    <t>🏏 IPL Performance Dashboard</t>
  </si>
  <si>
    <t>1. 🔢 Top KPI Cards</t>
  </si>
  <si>
    <t>Sabse upar 5 cards:</t>
  </si>
  <si>
    <t>KPI</t>
  </si>
  <si>
    <t>Meaning</t>
  </si>
  <si>
    <t>Kitne matches hain</t>
  </si>
  <si>
    <t>Total batting runs</t>
  </si>
  <si>
    <t>Total boundaries</t>
  </si>
  <si>
    <t>Total sixes</t>
  </si>
  <si>
    <t>Total wickets</t>
  </si>
  <si>
    <t>2. 🏆 Team Performance</t>
  </si>
  <si>
    <t>Chart 1 — Wins by Team</t>
  </si>
  <si>
    <t>➡️ Horizontal Bar Chart</t>
  </si>
  <si>
    <t>X-axis → Wins</t>
  </si>
  <si>
    <t>Y-axis → Team</t>
  </si>
  <si>
    <t>Isse immediately pata chalega kaunsi team sabse zyada matches jeeti.</t>
  </si>
  <si>
    <t>Chart 2 — Matches by Season</t>
  </si>
  <si>
    <t>➡️ Column Chart</t>
  </si>
  <si>
    <t>X-axis → Season</t>
  </si>
  <si>
    <t>Y-axis → Matches</t>
  </si>
  <si>
    <t>3. 🏏 Player Performance</t>
  </si>
  <si>
    <t>Chart 3 — Top 10 Run Scorers</t>
  </si>
  <si>
    <t>Chart 4 — Top 10 Wicket Takers</t>
  </si>
  <si>
    <t>Ye dashboard ka important section hoga.</t>
  </si>
  <si>
    <t>4. 🎯 Match Analysis</t>
  </si>
  <si>
    <t>Chart 5 — Toss Decision vs Match Winner</t>
  </si>
  <si>
    <t>➡️ Stacked Column Chart</t>
  </si>
  <si>
    <t>Compare:</t>
  </si>
  <si>
    <t>with match winners.</t>
  </si>
  <si>
    <t>Chart 6 — Matches by Venue</t>
  </si>
  <si>
    <t>➡️ Column/Bar Chart</t>
  </si>
  <si>
    <t>Isse pata chalega kis venue par kitne matches hue.</t>
  </si>
  <si>
    <t>🎛️ Slicers zaroor lagana</t>
  </si>
  <si>
    <t>Dashboard ko interactive banane ke liye:</t>
  </si>
  <si>
    <t>Season | Team | Venue | Player | Toss Decision</t>
  </si>
  <si>
    <t>Example:</t>
  </si>
  <si>
    <t>Season: [2021 ▼]</t>
  </si>
  <si>
    <r>
      <t xml:space="preserve">Select karte hi </t>
    </r>
    <r>
      <rPr>
        <b/>
        <sz val="11"/>
        <color theme="1"/>
        <rFont val="Calibri"/>
        <family val="2"/>
        <scheme val="minor"/>
      </rPr>
      <t>KPI cards aur charts update</t>
    </r>
    <r>
      <rPr>
        <sz val="11"/>
        <color theme="1"/>
        <rFont val="Calibri"/>
        <family val="2"/>
        <scheme val="minor"/>
      </rPr>
      <t xml:space="preserve"> hone chahiye.</t>
    </r>
  </si>
  <si>
    <t>🎨 Dashboard Layout</t>
  </si>
  <si>
    <t xml:space="preserve">             🏏 IPL PERFORMANCE DASHBOARD</t>
  </si>
  <si>
    <t xml:space="preserve">        Season | Team | Venue | Player | Toss</t>
  </si>
  <si>
    <t xml:space="preserve"> ┌──────────┐ ┌──────────┐ ┌──────────┐ ┌──────────┐</t>
  </si>
  <si>
    <t xml:space="preserve"> │  MATCHES │ │   RUNS   │ │    4s    │ │    6s    │</t>
  </si>
  <si>
    <t xml:space="preserve"> └──────────┘ └──────────┘ └──────────┘ └──────────┘</t>
  </si>
  <si>
    <t xml:space="preserve"> ┌──────────────────────┐ ┌──────────────────────┐</t>
  </si>
  <si>
    <t xml:space="preserve"> │    WINS BY TEAM      │ │   MATCHES BY SEASON  │</t>
  </si>
  <si>
    <t xml:space="preserve"> │     Bar Chart        │ │    Column Chart      │</t>
  </si>
  <si>
    <t xml:space="preserve"> └──────────────────────┘ └──────────────────────┘</t>
  </si>
  <si>
    <t xml:space="preserve"> │ TOP 10 RUN SCORERS   │ │ TOP 10 WICKET TAKERS │</t>
  </si>
  <si>
    <t xml:space="preserve"> │     Bar Chart        │ │     Bar Chart        │</t>
  </si>
  <si>
    <t xml:space="preserve"> │ TOSS vs MATCH WIN    │ │ MATCHES BY VENUE     │</t>
  </si>
  <si>
    <t xml:space="preserve"> │   Stacked Chart      │ │    Bar Chart         │</t>
  </si>
  <si>
    <t>⭐ Best part for your portfolio</t>
  </si>
  <si>
    <r>
      <t xml:space="preserve">Dashboard ke bottom me </t>
    </r>
    <r>
      <rPr>
        <b/>
        <sz val="11"/>
        <color theme="1"/>
        <rFont val="Calibri"/>
        <family val="2"/>
        <scheme val="minor"/>
      </rPr>
      <t>"Key Insights"</t>
    </r>
    <r>
      <rPr>
        <sz val="11"/>
        <color theme="1"/>
        <rFont val="Calibri"/>
        <family val="2"/>
        <scheme val="minor"/>
      </rPr>
      <t xml:space="preserve"> ka small section bhi rakho:</t>
    </r>
  </si>
  <si>
    <t>Most successful team</t>
  </si>
  <si>
    <t>Top run scorer</t>
  </si>
  <si>
    <t>Top wicket taker</t>
  </si>
  <si>
    <t>Highest scoring season</t>
  </si>
  <si>
    <t>Most frequently used venue</t>
  </si>
  <si>
    <r>
      <t xml:space="preserve">Isse dashboard sirf </t>
    </r>
    <r>
      <rPr>
        <b/>
        <sz val="11"/>
        <color theme="1"/>
        <rFont val="Calibri"/>
        <family val="2"/>
        <scheme val="minor"/>
      </rPr>
      <t>charts ka collection</t>
    </r>
    <r>
      <rPr>
        <sz val="11"/>
        <color theme="1"/>
        <rFont val="Calibri"/>
        <family val="2"/>
        <scheme val="minor"/>
      </rPr>
      <t xml:space="preserve"> nahi lagega, balki proper </t>
    </r>
    <r>
      <rPr>
        <b/>
        <sz val="11"/>
        <color theme="1"/>
        <rFont val="Calibri"/>
        <family val="2"/>
        <scheme val="minor"/>
      </rPr>
      <t>Data Analyst project</t>
    </r>
    <r>
      <rPr>
        <sz val="11"/>
        <color theme="1"/>
        <rFont val="Calibri"/>
        <family val="2"/>
        <scheme val="minor"/>
      </rPr>
      <t xml:space="preserve"> lagega.</t>
    </r>
  </si>
  <si>
    <t>Row Labels</t>
  </si>
  <si>
    <t>Grand Total</t>
  </si>
  <si>
    <t>Count of Match_ID</t>
  </si>
  <si>
    <t>Sum of Runs</t>
  </si>
  <si>
    <t>Sum of 4s</t>
  </si>
  <si>
    <t>Sum of 6s</t>
  </si>
  <si>
    <t>Sum of Wickets</t>
  </si>
  <si>
    <t>Sum of Wins</t>
  </si>
  <si>
    <t>Column Labels</t>
  </si>
  <si>
    <t>Count of Runs</t>
  </si>
  <si>
    <t>Count of Wickets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</si>
</sst>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Calibri"/>
      <family val="2"/>
      <scheme val="minor"/>
    </font>
    <font>
      <b/>
      <sz val="11"/>
      <name val="Calibri"/>
    </font>
    <font>
      <b/>
      <sz val="11"/>
      <color theme="1"/>
      <name val="Calibri"/>
      <family val="2"/>
      <scheme val="minor"/>
    </font>
    <font>
      <b/>
      <sz val="18"/>
      <color theme="1"/>
      <name val="Calibri"/>
      <family val="2"/>
      <scheme val="minor"/>
    </font>
    <font>
      <b/>
      <sz val="13.5"/>
      <color theme="1"/>
      <name val="Calibri"/>
      <family val="2"/>
      <scheme val="minor"/>
    </font>
    <font>
      <sz val="10"/>
      <color theme="1"/>
      <name val="Arial Unicode MS"/>
    </font>
  </fonts>
  <fills count="5">
    <fill>
      <patternFill patternType="none"/>
    </fill>
    <fill>
      <patternFill patternType="gray125"/>
    </fill>
    <fill>
      <patternFill patternType="solid">
        <fgColor rgb="FFD9EAF7"/>
      </patternFill>
    </fill>
    <fill>
      <patternFill patternType="solid">
        <fgColor theme="3" tint="0.3999755851924192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3" borderId="2" xfId="0" applyFont="1" applyFill="1" applyBorder="1" applyAlignment="1">
      <alignment horizontal="center" vertical="top"/>
    </xf>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 fillId="0" borderId="0" xfId="0" applyFont="1"/>
    <xf numFmtId="0" fontId="0" fillId="0" borderId="0" xfId="0" applyAlignment="1">
      <alignment horizontal="left" vertical="center" indent="1"/>
    </xf>
    <xf numFmtId="0" fontId="5" fillId="0" borderId="0" xfId="0" applyFont="1"/>
    <xf numFmtId="0" fontId="5" fillId="0" borderId="0" xfId="0" applyFont="1" applyAlignment="1">
      <alignment vertical="center"/>
    </xf>
    <xf numFmtId="0" fontId="0" fillId="0" borderId="0" xfId="0" applyNumberFormat="1"/>
    <xf numFmtId="0" fontId="0" fillId="0" borderId="0" xfId="0" pivotButton="1"/>
    <xf numFmtId="0" fontId="0" fillId="0" borderId="0" xfId="0" applyAlignment="1">
      <alignment horizontal="left"/>
    </xf>
    <xf numFmtId="0" fontId="0" fillId="4" borderId="0" xfId="0" applyFill="1"/>
  </cellXfs>
  <cellStyles count="1">
    <cellStyle name="Normal" xfId="0" builtinId="0"/>
  </cellStyles>
  <dxfs count="14">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theme="3"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theme="3"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theme="3"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9"/>
        </bottom>
        <vertical/>
        <horizontal/>
      </border>
    </dxf>
    <dxf>
      <font>
        <sz val="8"/>
        <color theme="1"/>
      </font>
      <fill>
        <patternFill patternType="none">
          <bgColor auto="1"/>
        </patternFill>
      </fill>
      <border>
        <left/>
        <right/>
        <top/>
        <bottom/>
        <vertical/>
        <horizontal/>
      </border>
    </dxf>
  </dxfs>
  <tableStyles count="1" defaultTableStyle="TableStyleMedium9" defaultPivotStyle="PivotStyleLight16">
    <tableStyle name="raman" pivot="0" table="0" count="10" xr9:uid="{59A4E664-9323-4AD7-AB44-3EB1E82359C9}">
      <tableStyleElement type="wholeTable" dxfId="13"/>
      <tableStyleElement type="headerRow" dxfId="12"/>
    </tableStyle>
  </tableStyles>
  <colors>
    <mruColors>
      <color rgb="FF009900"/>
      <color rgb="FF2909E7"/>
      <color rgb="FF1A2E46"/>
      <color rgb="FF6A9ED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rama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ivotCacheDefinition" Target="pivotCache/pivotCacheDefinition12.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[IPL_Analysis_Dashboard.xlsx.xlsx]pivot table2!PivotTable1</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2895932892407"/>
          <c:y val="0.11082260148421569"/>
          <c:w val="0.82164869539574137"/>
          <c:h val="0.76312894621019289"/>
        </c:manualLayout>
      </c:layout>
      <c:barChart>
        <c:barDir val="bar"/>
        <c:grouping val="clustered"/>
        <c:varyColors val="0"/>
        <c:ser>
          <c:idx val="0"/>
          <c:order val="0"/>
          <c:tx>
            <c:strRef>
              <c:f>'pivot table2'!$D$3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table2'!$C$4:$C$14</c:f>
              <c:strCache>
                <c:ptCount val="10"/>
                <c:pt idx="0">
                  <c:v>CSK</c:v>
                </c:pt>
                <c:pt idx="1">
                  <c:v>DC</c:v>
                </c:pt>
                <c:pt idx="2">
                  <c:v>GT</c:v>
                </c:pt>
                <c:pt idx="3">
                  <c:v>KKR</c:v>
                </c:pt>
                <c:pt idx="4">
                  <c:v>LSG</c:v>
                </c:pt>
                <c:pt idx="5">
                  <c:v>MI</c:v>
                </c:pt>
                <c:pt idx="6">
                  <c:v>PBKS</c:v>
                </c:pt>
                <c:pt idx="7">
                  <c:v>RCB</c:v>
                </c:pt>
                <c:pt idx="8">
                  <c:v>RR</c:v>
                </c:pt>
                <c:pt idx="9">
                  <c:v>SRH</c:v>
                </c:pt>
              </c:strCache>
            </c:strRef>
          </c:cat>
          <c:val>
            <c:numRef>
              <c:f>'pivot table2'!$D$4:$D$14</c:f>
              <c:numCache>
                <c:formatCode>General</c:formatCode>
                <c:ptCount val="10"/>
                <c:pt idx="0">
                  <c:v>47</c:v>
                </c:pt>
                <c:pt idx="1">
                  <c:v>54</c:v>
                </c:pt>
                <c:pt idx="2">
                  <c:v>49</c:v>
                </c:pt>
                <c:pt idx="3">
                  <c:v>56</c:v>
                </c:pt>
                <c:pt idx="4">
                  <c:v>58</c:v>
                </c:pt>
                <c:pt idx="5">
                  <c:v>54</c:v>
                </c:pt>
                <c:pt idx="6">
                  <c:v>56</c:v>
                </c:pt>
                <c:pt idx="7">
                  <c:v>36</c:v>
                </c:pt>
                <c:pt idx="8">
                  <c:v>49</c:v>
                </c:pt>
                <c:pt idx="9">
                  <c:v>41</c:v>
                </c:pt>
              </c:numCache>
            </c:numRef>
          </c:val>
          <c:extLst>
            <c:ext xmlns:c16="http://schemas.microsoft.com/office/drawing/2014/chart" uri="{C3380CC4-5D6E-409C-BE32-E72D297353CC}">
              <c16:uniqueId val="{00000002-83F8-4EFA-913F-89E65282DD45}"/>
            </c:ext>
          </c:extLst>
        </c:ser>
        <c:dLbls>
          <c:showLegendKey val="0"/>
          <c:showVal val="0"/>
          <c:showCatName val="0"/>
          <c:showSerName val="0"/>
          <c:showPercent val="0"/>
          <c:showBubbleSize val="0"/>
        </c:dLbls>
        <c:gapWidth val="115"/>
        <c:overlap val="-20"/>
        <c:axId val="2004982319"/>
        <c:axId val="2004982735"/>
      </c:barChart>
      <c:catAx>
        <c:axId val="20049823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4982735"/>
        <c:crosses val="autoZero"/>
        <c:auto val="1"/>
        <c:lblAlgn val="ctr"/>
        <c:lblOffset val="100"/>
        <c:noMultiLvlLbl val="0"/>
      </c:catAx>
      <c:valAx>
        <c:axId val="20049827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0498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[IPL_Analysis_Dashboard.xlsx.xlsx]pivot table2!PivotTable2</c:name>
    <c:fmtId val="1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13648293963253"/>
          <c:y val="0.17267098343313889"/>
          <c:w val="0.80845027062786956"/>
          <c:h val="0.53920457062518468"/>
        </c:manualLayout>
      </c:layout>
      <c:barChart>
        <c:barDir val="col"/>
        <c:grouping val="clustered"/>
        <c:varyColors val="0"/>
        <c:ser>
          <c:idx val="0"/>
          <c:order val="0"/>
          <c:tx>
            <c:strRef>
              <c:f>'pivot table2'!$G$3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table2'!$F$4:$F$14</c:f>
              <c:strCache>
                <c:ptCount val="10"/>
                <c:pt idx="0">
                  <c:v>Mohammed Siraj</c:v>
                </c:pt>
                <c:pt idx="1">
                  <c:v>Sunil Narine</c:v>
                </c:pt>
                <c:pt idx="2">
                  <c:v>Rashid Khan</c:v>
                </c:pt>
                <c:pt idx="3">
                  <c:v>T Natarajan</c:v>
                </c:pt>
                <c:pt idx="4">
                  <c:v>Yuzvendra Chahal</c:v>
                </c:pt>
                <c:pt idx="5">
                  <c:v>Varun Chakravarthy</c:v>
                </c:pt>
                <c:pt idx="6">
                  <c:v>Matheesha Pathirana</c:v>
                </c:pt>
                <c:pt idx="7">
                  <c:v>Mohammed Shami</c:v>
                </c:pt>
                <c:pt idx="8">
                  <c:v>Ravindra Jadeja</c:v>
                </c:pt>
                <c:pt idx="9">
                  <c:v>Pat Cummins</c:v>
                </c:pt>
              </c:strCache>
            </c:strRef>
          </c:cat>
          <c:val>
            <c:numRef>
              <c:f>'pivot table2'!$G$4:$G$14</c:f>
              <c:numCache>
                <c:formatCode>General</c:formatCode>
                <c:ptCount val="10"/>
                <c:pt idx="0">
                  <c:v>40</c:v>
                </c:pt>
                <c:pt idx="1">
                  <c:v>39</c:v>
                </c:pt>
                <c:pt idx="2">
                  <c:v>39</c:v>
                </c:pt>
                <c:pt idx="3">
                  <c:v>38</c:v>
                </c:pt>
                <c:pt idx="4">
                  <c:v>35</c:v>
                </c:pt>
                <c:pt idx="5">
                  <c:v>33</c:v>
                </c:pt>
                <c:pt idx="6">
                  <c:v>33</c:v>
                </c:pt>
                <c:pt idx="7">
                  <c:v>33</c:v>
                </c:pt>
                <c:pt idx="8">
                  <c:v>32</c:v>
                </c:pt>
                <c:pt idx="9">
                  <c:v>29</c:v>
                </c:pt>
              </c:numCache>
            </c:numRef>
          </c:val>
          <c:extLst>
            <c:ext xmlns:c16="http://schemas.microsoft.com/office/drawing/2014/chart" uri="{C3380CC4-5D6E-409C-BE32-E72D297353CC}">
              <c16:uniqueId val="{00000004-4A8F-42E1-82A6-9F7355315FFA}"/>
            </c:ext>
          </c:extLst>
        </c:ser>
        <c:dLbls>
          <c:showLegendKey val="0"/>
          <c:showVal val="0"/>
          <c:showCatName val="0"/>
          <c:showSerName val="0"/>
          <c:showPercent val="0"/>
          <c:showBubbleSize val="0"/>
        </c:dLbls>
        <c:gapWidth val="100"/>
        <c:overlap val="-24"/>
        <c:axId val="110589295"/>
        <c:axId val="110588463"/>
      </c:barChart>
      <c:catAx>
        <c:axId val="1105892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88463"/>
        <c:crosses val="autoZero"/>
        <c:auto val="1"/>
        <c:lblAlgn val="ctr"/>
        <c:lblOffset val="100"/>
        <c:noMultiLvlLbl val="0"/>
      </c:catAx>
      <c:valAx>
        <c:axId val="110588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8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[IPL_Analysis_Dashboard.xlsx.xlsx]pivot table2!PivotTable7</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table2'!$J$3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table2'!$I$4:$I$9</c:f>
              <c:strCache>
                <c:ptCount val="5"/>
                <c:pt idx="0">
                  <c:v>2021</c:v>
                </c:pt>
                <c:pt idx="1">
                  <c:v>2022</c:v>
                </c:pt>
                <c:pt idx="2">
                  <c:v>2023</c:v>
                </c:pt>
                <c:pt idx="3">
                  <c:v>2024</c:v>
                </c:pt>
                <c:pt idx="4">
                  <c:v>2025</c:v>
                </c:pt>
              </c:strCache>
            </c:strRef>
          </c:cat>
          <c:val>
            <c:numRef>
              <c:f>'pivot table2'!$J$4:$J$9</c:f>
              <c:numCache>
                <c:formatCode>General</c:formatCode>
                <c:ptCount val="5"/>
                <c:pt idx="0">
                  <c:v>13</c:v>
                </c:pt>
                <c:pt idx="1">
                  <c:v>12</c:v>
                </c:pt>
                <c:pt idx="2">
                  <c:v>12</c:v>
                </c:pt>
                <c:pt idx="3">
                  <c:v>7</c:v>
                </c:pt>
                <c:pt idx="4">
                  <c:v>8</c:v>
                </c:pt>
              </c:numCache>
            </c:numRef>
          </c:val>
          <c:extLst>
            <c:ext xmlns:c16="http://schemas.microsoft.com/office/drawing/2014/chart" uri="{C3380CC4-5D6E-409C-BE32-E72D297353CC}">
              <c16:uniqueId val="{00000000-3418-4396-A4AB-E001A361F248}"/>
            </c:ext>
          </c:extLst>
        </c:ser>
        <c:dLbls>
          <c:showLegendKey val="0"/>
          <c:showVal val="0"/>
          <c:showCatName val="0"/>
          <c:showSerName val="0"/>
          <c:showPercent val="0"/>
          <c:showBubbleSize val="0"/>
        </c:dLbls>
        <c:gapWidth val="100"/>
        <c:overlap val="-24"/>
        <c:axId val="734648703"/>
        <c:axId val="734650783"/>
      </c:barChart>
      <c:catAx>
        <c:axId val="7346487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4650783"/>
        <c:crosses val="autoZero"/>
        <c:auto val="1"/>
        <c:lblAlgn val="ctr"/>
        <c:lblOffset val="100"/>
        <c:noMultiLvlLbl val="0"/>
      </c:catAx>
      <c:valAx>
        <c:axId val="734650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464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[IPL_Analysis_Dashboard.xlsx.xlsx]pivot table2!PivotTable10</c:name>
    <c:fmtId val="2"/>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table2'!$C$24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table2'!$B$25:$B$35</c:f>
              <c:strCache>
                <c:ptCount val="10"/>
                <c:pt idx="0">
                  <c:v>Ruturaj Gaikwad</c:v>
                </c:pt>
                <c:pt idx="1">
                  <c:v>Andre Russell</c:v>
                </c:pt>
                <c:pt idx="2">
                  <c:v>Shubman Gill</c:v>
                </c:pt>
                <c:pt idx="3">
                  <c:v>Faf du Plessis</c:v>
                </c:pt>
                <c:pt idx="4">
                  <c:v>KL Rahul</c:v>
                </c:pt>
                <c:pt idx="5">
                  <c:v>David Warner</c:v>
                </c:pt>
                <c:pt idx="6">
                  <c:v>Virat Kohli</c:v>
                </c:pt>
                <c:pt idx="7">
                  <c:v>Travis Head</c:v>
                </c:pt>
                <c:pt idx="8">
                  <c:v>Suryakumar Yadav</c:v>
                </c:pt>
                <c:pt idx="9">
                  <c:v>Rishabh Pant</c:v>
                </c:pt>
              </c:strCache>
            </c:strRef>
          </c:cat>
          <c:val>
            <c:numRef>
              <c:f>'pivot table2'!$C$25:$C$35</c:f>
              <c:numCache>
                <c:formatCode>General</c:formatCode>
                <c:ptCount val="10"/>
                <c:pt idx="0">
                  <c:v>6</c:v>
                </c:pt>
                <c:pt idx="1">
                  <c:v>6</c:v>
                </c:pt>
                <c:pt idx="2">
                  <c:v>5</c:v>
                </c:pt>
                <c:pt idx="3">
                  <c:v>4</c:v>
                </c:pt>
                <c:pt idx="4">
                  <c:v>4</c:v>
                </c:pt>
                <c:pt idx="5">
                  <c:v>4</c:v>
                </c:pt>
                <c:pt idx="6">
                  <c:v>3</c:v>
                </c:pt>
                <c:pt idx="7">
                  <c:v>3</c:v>
                </c:pt>
                <c:pt idx="8">
                  <c:v>3</c:v>
                </c:pt>
                <c:pt idx="9">
                  <c:v>3</c:v>
                </c:pt>
              </c:numCache>
            </c:numRef>
          </c:val>
          <c:extLst>
            <c:ext xmlns:c16="http://schemas.microsoft.com/office/drawing/2014/chart" uri="{C3380CC4-5D6E-409C-BE32-E72D297353CC}">
              <c16:uniqueId val="{00000000-7CE6-4EF8-A773-449E1F4A9D53}"/>
            </c:ext>
          </c:extLst>
        </c:ser>
        <c:dLbls>
          <c:showLegendKey val="0"/>
          <c:showVal val="0"/>
          <c:showCatName val="0"/>
          <c:showSerName val="0"/>
          <c:showPercent val="0"/>
          <c:showBubbleSize val="0"/>
        </c:dLbls>
        <c:gapWidth val="315"/>
        <c:overlap val="-40"/>
        <c:axId val="998402191"/>
        <c:axId val="998394703"/>
      </c:barChart>
      <c:catAx>
        <c:axId val="9984021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8394703"/>
        <c:crosses val="autoZero"/>
        <c:auto val="1"/>
        <c:lblAlgn val="ctr"/>
        <c:lblOffset val="100"/>
        <c:noMultiLvlLbl val="0"/>
      </c:catAx>
      <c:valAx>
        <c:axId val="9983947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840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[IPL_Analysis_Dashboard.xlsx.xlsx]pivot table2!PivotTable8</c:name>
    <c:fmtId val="25"/>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table2'!$D$17:$D$18</c:f>
              <c:strCache>
                <c:ptCount val="1"/>
                <c:pt idx="0">
                  <c:v>CSK</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table2'!$D$19:$D$21</c:f>
              <c:numCache>
                <c:formatCode>General</c:formatCode>
                <c:ptCount val="2"/>
                <c:pt idx="0">
                  <c:v>1</c:v>
                </c:pt>
                <c:pt idx="1">
                  <c:v>2</c:v>
                </c:pt>
              </c:numCache>
            </c:numRef>
          </c:val>
          <c:extLst>
            <c:ext xmlns:c16="http://schemas.microsoft.com/office/drawing/2014/chart" uri="{C3380CC4-5D6E-409C-BE32-E72D297353CC}">
              <c16:uniqueId val="{00000000-8DCB-4E65-9E0D-691285888827}"/>
            </c:ext>
          </c:extLst>
        </c:ser>
        <c:ser>
          <c:idx val="1"/>
          <c:order val="1"/>
          <c:tx>
            <c:strRef>
              <c:f>'pivot table2'!$E$17:$E$18</c:f>
              <c:strCache>
                <c:ptCount val="1"/>
                <c:pt idx="0">
                  <c:v>DC</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table2'!$E$19:$E$21</c:f>
              <c:numCache>
                <c:formatCode>General</c:formatCode>
                <c:ptCount val="2"/>
                <c:pt idx="0">
                  <c:v>4</c:v>
                </c:pt>
                <c:pt idx="1">
                  <c:v>3</c:v>
                </c:pt>
              </c:numCache>
            </c:numRef>
          </c:val>
          <c:extLst>
            <c:ext xmlns:c16="http://schemas.microsoft.com/office/drawing/2014/chart" uri="{C3380CC4-5D6E-409C-BE32-E72D297353CC}">
              <c16:uniqueId val="{00000001-8DCB-4E65-9E0D-691285888827}"/>
            </c:ext>
          </c:extLst>
        </c:ser>
        <c:ser>
          <c:idx val="2"/>
          <c:order val="2"/>
          <c:tx>
            <c:strRef>
              <c:f>'pivot table2'!$F$17:$F$18</c:f>
              <c:strCache>
                <c:ptCount val="1"/>
                <c:pt idx="0">
                  <c:v>GT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table2'!$F$19:$F$21</c:f>
              <c:numCache>
                <c:formatCode>General</c:formatCode>
                <c:ptCount val="2"/>
                <c:pt idx="1">
                  <c:v>5</c:v>
                </c:pt>
              </c:numCache>
            </c:numRef>
          </c:val>
          <c:extLst>
            <c:ext xmlns:c16="http://schemas.microsoft.com/office/drawing/2014/chart" uri="{C3380CC4-5D6E-409C-BE32-E72D297353CC}">
              <c16:uniqueId val="{00000002-8DCB-4E65-9E0D-691285888827}"/>
            </c:ext>
          </c:extLst>
        </c:ser>
        <c:ser>
          <c:idx val="3"/>
          <c:order val="3"/>
          <c:tx>
            <c:strRef>
              <c:f>'pivot table2'!$G$17:$G$18</c:f>
              <c:strCache>
                <c:ptCount val="1"/>
                <c:pt idx="0">
                  <c:v>KKR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table2'!$G$19:$G$21</c:f>
              <c:numCache>
                <c:formatCode>General</c:formatCode>
                <c:ptCount val="2"/>
                <c:pt idx="0">
                  <c:v>4</c:v>
                </c:pt>
                <c:pt idx="1">
                  <c:v>6</c:v>
                </c:pt>
              </c:numCache>
            </c:numRef>
          </c:val>
          <c:extLst>
            <c:ext xmlns:c16="http://schemas.microsoft.com/office/drawing/2014/chart" uri="{C3380CC4-5D6E-409C-BE32-E72D297353CC}">
              <c16:uniqueId val="{00000003-8DCB-4E65-9E0D-691285888827}"/>
            </c:ext>
          </c:extLst>
        </c:ser>
        <c:ser>
          <c:idx val="4"/>
          <c:order val="4"/>
          <c:tx>
            <c:strRef>
              <c:f>'pivot table2'!$H$17:$H$18</c:f>
              <c:strCache>
                <c:ptCount val="1"/>
                <c:pt idx="0">
                  <c:v>LSG</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table2'!$H$19:$H$21</c:f>
              <c:numCache>
                <c:formatCode>General</c:formatCode>
                <c:ptCount val="2"/>
                <c:pt idx="0">
                  <c:v>4</c:v>
                </c:pt>
                <c:pt idx="1">
                  <c:v>1</c:v>
                </c:pt>
              </c:numCache>
            </c:numRef>
          </c:val>
          <c:extLst>
            <c:ext xmlns:c16="http://schemas.microsoft.com/office/drawing/2014/chart" uri="{C3380CC4-5D6E-409C-BE32-E72D297353CC}">
              <c16:uniqueId val="{00000004-8DCB-4E65-9E0D-691285888827}"/>
            </c:ext>
          </c:extLst>
        </c:ser>
        <c:ser>
          <c:idx val="5"/>
          <c:order val="5"/>
          <c:tx>
            <c:strRef>
              <c:f>'pivot table2'!$I$17:$I$18</c:f>
              <c:strCache>
                <c:ptCount val="1"/>
                <c:pt idx="0">
                  <c:v>MI</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table2'!$I$19:$I$21</c:f>
              <c:numCache>
                <c:formatCode>General</c:formatCode>
                <c:ptCount val="2"/>
                <c:pt idx="0">
                  <c:v>2</c:v>
                </c:pt>
                <c:pt idx="1">
                  <c:v>2</c:v>
                </c:pt>
              </c:numCache>
            </c:numRef>
          </c:val>
          <c:extLst>
            <c:ext xmlns:c16="http://schemas.microsoft.com/office/drawing/2014/chart" uri="{C3380CC4-5D6E-409C-BE32-E72D297353CC}">
              <c16:uniqueId val="{00000005-8DCB-4E65-9E0D-691285888827}"/>
            </c:ext>
          </c:extLst>
        </c:ser>
        <c:ser>
          <c:idx val="6"/>
          <c:order val="6"/>
          <c:tx>
            <c:strRef>
              <c:f>'pivot table2'!$J$17:$J$18</c:f>
              <c:strCache>
                <c:ptCount val="1"/>
                <c:pt idx="0">
                  <c:v>PBKS</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table2'!$J$19:$J$21</c:f>
              <c:numCache>
                <c:formatCode>General</c:formatCode>
                <c:ptCount val="2"/>
                <c:pt idx="0">
                  <c:v>4</c:v>
                </c:pt>
                <c:pt idx="1">
                  <c:v>2</c:v>
                </c:pt>
              </c:numCache>
            </c:numRef>
          </c:val>
          <c:extLst>
            <c:ext xmlns:c16="http://schemas.microsoft.com/office/drawing/2014/chart" uri="{C3380CC4-5D6E-409C-BE32-E72D297353CC}">
              <c16:uniqueId val="{00000006-8DCB-4E65-9E0D-691285888827}"/>
            </c:ext>
          </c:extLst>
        </c:ser>
        <c:ser>
          <c:idx val="7"/>
          <c:order val="7"/>
          <c:tx>
            <c:strRef>
              <c:f>'pivot table2'!$K$17:$K$18</c:f>
              <c:strCache>
                <c:ptCount val="1"/>
                <c:pt idx="0">
                  <c:v>RCB</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table2'!$K$19:$K$21</c:f>
              <c:numCache>
                <c:formatCode>General</c:formatCode>
                <c:ptCount val="2"/>
                <c:pt idx="0">
                  <c:v>1</c:v>
                </c:pt>
                <c:pt idx="1">
                  <c:v>1</c:v>
                </c:pt>
              </c:numCache>
            </c:numRef>
          </c:val>
          <c:extLst>
            <c:ext xmlns:c16="http://schemas.microsoft.com/office/drawing/2014/chart" uri="{C3380CC4-5D6E-409C-BE32-E72D297353CC}">
              <c16:uniqueId val="{00000007-8DCB-4E65-9E0D-691285888827}"/>
            </c:ext>
          </c:extLst>
        </c:ser>
        <c:ser>
          <c:idx val="8"/>
          <c:order val="8"/>
          <c:tx>
            <c:strRef>
              <c:f>'pivot table2'!$L$17:$L$18</c:f>
              <c:strCache>
                <c:ptCount val="1"/>
                <c:pt idx="0">
                  <c:v>RR</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table2'!$L$19:$L$21</c:f>
              <c:numCache>
                <c:formatCode>General</c:formatCode>
                <c:ptCount val="2"/>
                <c:pt idx="0">
                  <c:v>5</c:v>
                </c:pt>
                <c:pt idx="1">
                  <c:v>1</c:v>
                </c:pt>
              </c:numCache>
            </c:numRef>
          </c:val>
          <c:extLst>
            <c:ext xmlns:c16="http://schemas.microsoft.com/office/drawing/2014/chart" uri="{C3380CC4-5D6E-409C-BE32-E72D297353CC}">
              <c16:uniqueId val="{00000008-8DCB-4E65-9E0D-691285888827}"/>
            </c:ext>
          </c:extLst>
        </c:ser>
        <c:ser>
          <c:idx val="9"/>
          <c:order val="9"/>
          <c:tx>
            <c:strRef>
              <c:f>'pivot table2'!$M$17:$M$18</c:f>
              <c:strCache>
                <c:ptCount val="1"/>
                <c:pt idx="0">
                  <c:v>SRH</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table2'!$M$19:$M$21</c:f>
              <c:numCache>
                <c:formatCode>General</c:formatCode>
                <c:ptCount val="2"/>
                <c:pt idx="0">
                  <c:v>2</c:v>
                </c:pt>
                <c:pt idx="1">
                  <c:v>2</c:v>
                </c:pt>
              </c:numCache>
            </c:numRef>
          </c:val>
          <c:extLst>
            <c:ext xmlns:c16="http://schemas.microsoft.com/office/drawing/2014/chart" uri="{C3380CC4-5D6E-409C-BE32-E72D297353CC}">
              <c16:uniqueId val="{00000002-CEEB-437F-AB00-B08411994066}"/>
            </c:ext>
          </c:extLst>
        </c:ser>
        <c:dLbls>
          <c:dLblPos val="ctr"/>
          <c:showLegendKey val="0"/>
          <c:showVal val="1"/>
          <c:showCatName val="0"/>
          <c:showSerName val="0"/>
          <c:showPercent val="0"/>
          <c:showBubbleSize val="0"/>
        </c:dLbls>
        <c:gapWidth val="150"/>
        <c:overlap val="100"/>
        <c:axId val="113045455"/>
        <c:axId val="113045039"/>
      </c:barChart>
      <c:catAx>
        <c:axId val="1130454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45039"/>
        <c:crosses val="autoZero"/>
        <c:auto val="1"/>
        <c:lblAlgn val="ctr"/>
        <c:lblOffset val="100"/>
        <c:noMultiLvlLbl val="0"/>
      </c:catAx>
      <c:valAx>
        <c:axId val="113045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4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[IPL_Analysis_Dashboard.xlsx.xlsx]pivot table2!PivotTable11</c:name>
    <c:fmtId val="33"/>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table2'!$C$38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table2'!$B$39:$B$40</c:f>
              <c:strCache>
                <c:ptCount val="1"/>
                <c:pt idx="0">
                  <c:v>Punjab Cricket Association Stadium</c:v>
                </c:pt>
              </c:strCache>
            </c:strRef>
          </c:cat>
          <c:val>
            <c:numRef>
              <c:f>'pivot table2'!$C$39:$C$40</c:f>
              <c:numCache>
                <c:formatCode>General</c:formatCode>
                <c:ptCount val="1"/>
                <c:pt idx="0">
                  <c:v>52</c:v>
                </c:pt>
              </c:numCache>
            </c:numRef>
          </c:val>
          <c:extLst>
            <c:ext xmlns:c16="http://schemas.microsoft.com/office/drawing/2014/chart" uri="{C3380CC4-5D6E-409C-BE32-E72D297353CC}">
              <c16:uniqueId val="{00000000-2855-4CD9-B48B-4E429E84B907}"/>
            </c:ext>
          </c:extLst>
        </c:ser>
        <c:dLbls>
          <c:showLegendKey val="0"/>
          <c:showVal val="0"/>
          <c:showCatName val="0"/>
          <c:showSerName val="0"/>
          <c:showPercent val="0"/>
          <c:showBubbleSize val="0"/>
        </c:dLbls>
        <c:gapWidth val="100"/>
        <c:overlap val="-24"/>
        <c:axId val="2106079023"/>
        <c:axId val="2106079439"/>
      </c:barChart>
      <c:catAx>
        <c:axId val="21060790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079439"/>
        <c:crosses val="autoZero"/>
        <c:auto val="1"/>
        <c:lblAlgn val="ctr"/>
        <c:lblOffset val="100"/>
        <c:noMultiLvlLbl val="0"/>
      </c:catAx>
      <c:valAx>
        <c:axId val="21060794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07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[IPL_Analysis_Dashboard.xlsx.xlsx]pivot table2!PivotTable8</c:name>
    <c:fmtId val="27"/>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table2'!$D$17:$D$18</c:f>
              <c:strCache>
                <c:ptCount val="1"/>
                <c:pt idx="0">
                  <c:v>CSK</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table2'!$D$19:$D$21</c:f>
              <c:numCache>
                <c:formatCode>General</c:formatCode>
                <c:ptCount val="2"/>
                <c:pt idx="0">
                  <c:v>1</c:v>
                </c:pt>
                <c:pt idx="1">
                  <c:v>2</c:v>
                </c:pt>
              </c:numCache>
            </c:numRef>
          </c:val>
          <c:extLst>
            <c:ext xmlns:c16="http://schemas.microsoft.com/office/drawing/2014/chart" uri="{C3380CC4-5D6E-409C-BE32-E72D297353CC}">
              <c16:uniqueId val="{00000000-2AD4-4488-BEB9-061CEC3F0565}"/>
            </c:ext>
          </c:extLst>
        </c:ser>
        <c:ser>
          <c:idx val="1"/>
          <c:order val="1"/>
          <c:tx>
            <c:strRef>
              <c:f>'pivot table2'!$E$17:$E$18</c:f>
              <c:strCache>
                <c:ptCount val="1"/>
                <c:pt idx="0">
                  <c:v>DC</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table2'!$E$19:$E$21</c:f>
              <c:numCache>
                <c:formatCode>General</c:formatCode>
                <c:ptCount val="2"/>
                <c:pt idx="0">
                  <c:v>4</c:v>
                </c:pt>
                <c:pt idx="1">
                  <c:v>3</c:v>
                </c:pt>
              </c:numCache>
            </c:numRef>
          </c:val>
          <c:extLst>
            <c:ext xmlns:c16="http://schemas.microsoft.com/office/drawing/2014/chart" uri="{C3380CC4-5D6E-409C-BE32-E72D297353CC}">
              <c16:uniqueId val="{00000001-2AD4-4488-BEB9-061CEC3F0565}"/>
            </c:ext>
          </c:extLst>
        </c:ser>
        <c:ser>
          <c:idx val="2"/>
          <c:order val="2"/>
          <c:tx>
            <c:strRef>
              <c:f>'pivot table2'!$F$17:$F$18</c:f>
              <c:strCache>
                <c:ptCount val="1"/>
                <c:pt idx="0">
                  <c:v>GT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table2'!$F$19:$F$21</c:f>
              <c:numCache>
                <c:formatCode>General</c:formatCode>
                <c:ptCount val="2"/>
                <c:pt idx="1">
                  <c:v>5</c:v>
                </c:pt>
              </c:numCache>
            </c:numRef>
          </c:val>
          <c:extLst>
            <c:ext xmlns:c16="http://schemas.microsoft.com/office/drawing/2014/chart" uri="{C3380CC4-5D6E-409C-BE32-E72D297353CC}">
              <c16:uniqueId val="{00000002-2AD4-4488-BEB9-061CEC3F0565}"/>
            </c:ext>
          </c:extLst>
        </c:ser>
        <c:ser>
          <c:idx val="3"/>
          <c:order val="3"/>
          <c:tx>
            <c:strRef>
              <c:f>'pivot table2'!$G$17:$G$18</c:f>
              <c:strCache>
                <c:ptCount val="1"/>
                <c:pt idx="0">
                  <c:v>KKR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table2'!$G$19:$G$21</c:f>
              <c:numCache>
                <c:formatCode>General</c:formatCode>
                <c:ptCount val="2"/>
                <c:pt idx="0">
                  <c:v>4</c:v>
                </c:pt>
                <c:pt idx="1">
                  <c:v>6</c:v>
                </c:pt>
              </c:numCache>
            </c:numRef>
          </c:val>
          <c:extLst>
            <c:ext xmlns:c16="http://schemas.microsoft.com/office/drawing/2014/chart" uri="{C3380CC4-5D6E-409C-BE32-E72D297353CC}">
              <c16:uniqueId val="{00000003-2AD4-4488-BEB9-061CEC3F0565}"/>
            </c:ext>
          </c:extLst>
        </c:ser>
        <c:ser>
          <c:idx val="4"/>
          <c:order val="4"/>
          <c:tx>
            <c:strRef>
              <c:f>'pivot table2'!$H$17:$H$18</c:f>
              <c:strCache>
                <c:ptCount val="1"/>
                <c:pt idx="0">
                  <c:v>LSG</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table2'!$H$19:$H$21</c:f>
              <c:numCache>
                <c:formatCode>General</c:formatCode>
                <c:ptCount val="2"/>
                <c:pt idx="0">
                  <c:v>4</c:v>
                </c:pt>
                <c:pt idx="1">
                  <c:v>1</c:v>
                </c:pt>
              </c:numCache>
            </c:numRef>
          </c:val>
          <c:extLst>
            <c:ext xmlns:c16="http://schemas.microsoft.com/office/drawing/2014/chart" uri="{C3380CC4-5D6E-409C-BE32-E72D297353CC}">
              <c16:uniqueId val="{00000004-2AD4-4488-BEB9-061CEC3F0565}"/>
            </c:ext>
          </c:extLst>
        </c:ser>
        <c:ser>
          <c:idx val="5"/>
          <c:order val="5"/>
          <c:tx>
            <c:strRef>
              <c:f>'pivot table2'!$I$17:$I$18</c:f>
              <c:strCache>
                <c:ptCount val="1"/>
                <c:pt idx="0">
                  <c:v>MI</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table2'!$I$19:$I$21</c:f>
              <c:numCache>
                <c:formatCode>General</c:formatCode>
                <c:ptCount val="2"/>
                <c:pt idx="0">
                  <c:v>2</c:v>
                </c:pt>
                <c:pt idx="1">
                  <c:v>2</c:v>
                </c:pt>
              </c:numCache>
            </c:numRef>
          </c:val>
          <c:extLst>
            <c:ext xmlns:c16="http://schemas.microsoft.com/office/drawing/2014/chart" uri="{C3380CC4-5D6E-409C-BE32-E72D297353CC}">
              <c16:uniqueId val="{00000005-2AD4-4488-BEB9-061CEC3F0565}"/>
            </c:ext>
          </c:extLst>
        </c:ser>
        <c:ser>
          <c:idx val="6"/>
          <c:order val="6"/>
          <c:tx>
            <c:strRef>
              <c:f>'pivot table2'!$J$17:$J$18</c:f>
              <c:strCache>
                <c:ptCount val="1"/>
                <c:pt idx="0">
                  <c:v>PBKS</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table2'!$J$19:$J$21</c:f>
              <c:numCache>
                <c:formatCode>General</c:formatCode>
                <c:ptCount val="2"/>
                <c:pt idx="0">
                  <c:v>4</c:v>
                </c:pt>
                <c:pt idx="1">
                  <c:v>2</c:v>
                </c:pt>
              </c:numCache>
            </c:numRef>
          </c:val>
          <c:extLst>
            <c:ext xmlns:c16="http://schemas.microsoft.com/office/drawing/2014/chart" uri="{C3380CC4-5D6E-409C-BE32-E72D297353CC}">
              <c16:uniqueId val="{00000006-2AD4-4488-BEB9-061CEC3F0565}"/>
            </c:ext>
          </c:extLst>
        </c:ser>
        <c:ser>
          <c:idx val="7"/>
          <c:order val="7"/>
          <c:tx>
            <c:strRef>
              <c:f>'pivot table2'!$K$17:$K$18</c:f>
              <c:strCache>
                <c:ptCount val="1"/>
                <c:pt idx="0">
                  <c:v>RCB</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table2'!$K$19:$K$21</c:f>
              <c:numCache>
                <c:formatCode>General</c:formatCode>
                <c:ptCount val="2"/>
                <c:pt idx="0">
                  <c:v>1</c:v>
                </c:pt>
                <c:pt idx="1">
                  <c:v>1</c:v>
                </c:pt>
              </c:numCache>
            </c:numRef>
          </c:val>
          <c:extLst>
            <c:ext xmlns:c16="http://schemas.microsoft.com/office/drawing/2014/chart" uri="{C3380CC4-5D6E-409C-BE32-E72D297353CC}">
              <c16:uniqueId val="{00000007-2AD4-4488-BEB9-061CEC3F0565}"/>
            </c:ext>
          </c:extLst>
        </c:ser>
        <c:ser>
          <c:idx val="8"/>
          <c:order val="8"/>
          <c:tx>
            <c:strRef>
              <c:f>'pivot table2'!$L$17:$L$18</c:f>
              <c:strCache>
                <c:ptCount val="1"/>
                <c:pt idx="0">
                  <c:v>RR</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table2'!$L$19:$L$21</c:f>
              <c:numCache>
                <c:formatCode>General</c:formatCode>
                <c:ptCount val="2"/>
                <c:pt idx="0">
                  <c:v>5</c:v>
                </c:pt>
                <c:pt idx="1">
                  <c:v>1</c:v>
                </c:pt>
              </c:numCache>
            </c:numRef>
          </c:val>
          <c:extLst>
            <c:ext xmlns:c16="http://schemas.microsoft.com/office/drawing/2014/chart" uri="{C3380CC4-5D6E-409C-BE32-E72D297353CC}">
              <c16:uniqueId val="{00000008-2AD4-4488-BEB9-061CEC3F0565}"/>
            </c:ext>
          </c:extLst>
        </c:ser>
        <c:ser>
          <c:idx val="9"/>
          <c:order val="9"/>
          <c:tx>
            <c:strRef>
              <c:f>'pivot table2'!$M$17:$M$18</c:f>
              <c:strCache>
                <c:ptCount val="1"/>
                <c:pt idx="0">
                  <c:v>SRH</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table2'!$C$19:$C$21</c:f>
              <c:strCache>
                <c:ptCount val="2"/>
                <c:pt idx="0">
                  <c:v>Bat</c:v>
                </c:pt>
                <c:pt idx="1">
                  <c:v>Field</c:v>
                </c:pt>
              </c:strCache>
            </c:strRef>
          </c:cat>
          <c:val>
            <c:numRef>
              <c:f>'pivot table2'!$M$19:$M$21</c:f>
              <c:numCache>
                <c:formatCode>General</c:formatCode>
                <c:ptCount val="2"/>
                <c:pt idx="0">
                  <c:v>2</c:v>
                </c:pt>
                <c:pt idx="1">
                  <c:v>2</c:v>
                </c:pt>
              </c:numCache>
            </c:numRef>
          </c:val>
          <c:extLst>
            <c:ext xmlns:c16="http://schemas.microsoft.com/office/drawing/2014/chart" uri="{C3380CC4-5D6E-409C-BE32-E72D297353CC}">
              <c16:uniqueId val="{00000002-D456-4F97-A9D1-2F2164440FA9}"/>
            </c:ext>
          </c:extLst>
        </c:ser>
        <c:dLbls>
          <c:dLblPos val="ctr"/>
          <c:showLegendKey val="0"/>
          <c:showVal val="1"/>
          <c:showCatName val="0"/>
          <c:showSerName val="0"/>
          <c:showPercent val="0"/>
          <c:showBubbleSize val="0"/>
        </c:dLbls>
        <c:gapWidth val="150"/>
        <c:overlap val="100"/>
        <c:axId val="113045455"/>
        <c:axId val="113045039"/>
      </c:barChart>
      <c:catAx>
        <c:axId val="1130454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45039"/>
        <c:crosses val="autoZero"/>
        <c:auto val="1"/>
        <c:lblAlgn val="ctr"/>
        <c:lblOffset val="100"/>
        <c:noMultiLvlLbl val="0"/>
      </c:catAx>
      <c:valAx>
        <c:axId val="113045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4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[IPL_Analysis_Dashboard.xlsx.xlsx]pivot table2!PivotTable7</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table2'!$J$3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table2'!$I$4:$I$9</c:f>
              <c:strCache>
                <c:ptCount val="5"/>
                <c:pt idx="0">
                  <c:v>2021</c:v>
                </c:pt>
                <c:pt idx="1">
                  <c:v>2022</c:v>
                </c:pt>
                <c:pt idx="2">
                  <c:v>2023</c:v>
                </c:pt>
                <c:pt idx="3">
                  <c:v>2024</c:v>
                </c:pt>
                <c:pt idx="4">
                  <c:v>2025</c:v>
                </c:pt>
              </c:strCache>
            </c:strRef>
          </c:cat>
          <c:val>
            <c:numRef>
              <c:f>'pivot table2'!$J$4:$J$9</c:f>
              <c:numCache>
                <c:formatCode>General</c:formatCode>
                <c:ptCount val="5"/>
                <c:pt idx="0">
                  <c:v>13</c:v>
                </c:pt>
                <c:pt idx="1">
                  <c:v>12</c:v>
                </c:pt>
                <c:pt idx="2">
                  <c:v>12</c:v>
                </c:pt>
                <c:pt idx="3">
                  <c:v>7</c:v>
                </c:pt>
                <c:pt idx="4">
                  <c:v>8</c:v>
                </c:pt>
              </c:numCache>
            </c:numRef>
          </c:val>
          <c:extLst>
            <c:ext xmlns:c16="http://schemas.microsoft.com/office/drawing/2014/chart" uri="{C3380CC4-5D6E-409C-BE32-E72D297353CC}">
              <c16:uniqueId val="{00000000-A045-4D3A-AE42-B132A0792D72}"/>
            </c:ext>
          </c:extLst>
        </c:ser>
        <c:dLbls>
          <c:showLegendKey val="0"/>
          <c:showVal val="0"/>
          <c:showCatName val="0"/>
          <c:showSerName val="0"/>
          <c:showPercent val="0"/>
          <c:showBubbleSize val="0"/>
        </c:dLbls>
        <c:gapWidth val="100"/>
        <c:overlap val="-24"/>
        <c:axId val="734648703"/>
        <c:axId val="734650783"/>
      </c:barChart>
      <c:catAx>
        <c:axId val="7346487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4650783"/>
        <c:crosses val="autoZero"/>
        <c:auto val="1"/>
        <c:lblAlgn val="ctr"/>
        <c:lblOffset val="100"/>
        <c:noMultiLvlLbl val="0"/>
      </c:catAx>
      <c:valAx>
        <c:axId val="734650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464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3.xml"/><Relationship Id="rId3" Type="http://schemas.openxmlformats.org/officeDocument/2006/relationships/image" Target="../media/image3.png"/><Relationship Id="rId21"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hyperlink" Target="#'match by season'!A1"/><Relationship Id="rId2" Type="http://schemas.openxmlformats.org/officeDocument/2006/relationships/image" Target="../media/image2.png"/><Relationship Id="rId16" Type="http://schemas.openxmlformats.org/officeDocument/2006/relationships/chart" Target="../charts/chart2.xml"/><Relationship Id="rId20" Type="http://schemas.openxmlformats.org/officeDocument/2006/relationships/hyperlink" Target="#'toss decesion'!A1"/><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23"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 1'!A1"/><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hyperlink" Target="#'dashboard 1'!A1"/><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355599</xdr:colOff>
      <xdr:row>4</xdr:row>
      <xdr:rowOff>107950</xdr:rowOff>
    </xdr:from>
    <xdr:to>
      <xdr:col>5</xdr:col>
      <xdr:colOff>592666</xdr:colOff>
      <xdr:row>8</xdr:row>
      <xdr:rowOff>112887</xdr:rowOff>
    </xdr:to>
    <xdr:sp macro="" textlink="">
      <xdr:nvSpPr>
        <xdr:cNvPr id="12" name="Rectangle: Rounded Corners 11">
          <a:extLst>
            <a:ext uri="{FF2B5EF4-FFF2-40B4-BE49-F238E27FC236}">
              <a16:creationId xmlns:a16="http://schemas.microsoft.com/office/drawing/2014/main" id="{38CC6EE3-5B0B-419D-8151-F0CC028DF146}"/>
            </a:ext>
          </a:extLst>
        </xdr:cNvPr>
        <xdr:cNvSpPr/>
      </xdr:nvSpPr>
      <xdr:spPr>
        <a:xfrm>
          <a:off x="1569155" y="841728"/>
          <a:ext cx="2057400" cy="738715"/>
        </a:xfrm>
        <a:prstGeom prst="round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378175</xdr:colOff>
      <xdr:row>8</xdr:row>
      <xdr:rowOff>172153</xdr:rowOff>
    </xdr:from>
    <xdr:to>
      <xdr:col>8</xdr:col>
      <xdr:colOff>190500</xdr:colOff>
      <xdr:row>19</xdr:row>
      <xdr:rowOff>91722</xdr:rowOff>
    </xdr:to>
    <xdr:sp macro="" textlink="">
      <xdr:nvSpPr>
        <xdr:cNvPr id="71" name="Rectangle: Rounded Corners 70">
          <a:extLst>
            <a:ext uri="{FF2B5EF4-FFF2-40B4-BE49-F238E27FC236}">
              <a16:creationId xmlns:a16="http://schemas.microsoft.com/office/drawing/2014/main" id="{F8572DF6-B843-42ED-AFA9-7CFF1438F086}"/>
            </a:ext>
          </a:extLst>
        </xdr:cNvPr>
        <xdr:cNvSpPr/>
      </xdr:nvSpPr>
      <xdr:spPr>
        <a:xfrm>
          <a:off x="1600550" y="1632653"/>
          <a:ext cx="3479450" cy="1927757"/>
        </a:xfrm>
        <a:prstGeom prst="roundRect">
          <a:avLst>
            <a:gd name="adj" fmla="val 335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241296</xdr:colOff>
      <xdr:row>8</xdr:row>
      <xdr:rowOff>155219</xdr:rowOff>
    </xdr:from>
    <xdr:to>
      <xdr:col>14</xdr:col>
      <xdr:colOff>53620</xdr:colOff>
      <xdr:row>19</xdr:row>
      <xdr:rowOff>74788</xdr:rowOff>
    </xdr:to>
    <xdr:sp macro="" textlink="">
      <xdr:nvSpPr>
        <xdr:cNvPr id="79" name="Rectangle: Rounded Corners 78">
          <a:extLst>
            <a:ext uri="{FF2B5EF4-FFF2-40B4-BE49-F238E27FC236}">
              <a16:creationId xmlns:a16="http://schemas.microsoft.com/office/drawing/2014/main" id="{C09173BC-A4A2-4F0E-B704-136916B368AA}"/>
            </a:ext>
          </a:extLst>
        </xdr:cNvPr>
        <xdr:cNvSpPr/>
      </xdr:nvSpPr>
      <xdr:spPr>
        <a:xfrm>
          <a:off x="5130796" y="1615719"/>
          <a:ext cx="3479449" cy="1927757"/>
        </a:xfrm>
        <a:prstGeom prst="roundRect">
          <a:avLst>
            <a:gd name="adj" fmla="val 417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111475</xdr:colOff>
      <xdr:row>8</xdr:row>
      <xdr:rowOff>152396</xdr:rowOff>
    </xdr:from>
    <xdr:to>
      <xdr:col>19</xdr:col>
      <xdr:colOff>493889</xdr:colOff>
      <xdr:row>19</xdr:row>
      <xdr:rowOff>71965</xdr:rowOff>
    </xdr:to>
    <xdr:sp macro="" textlink="">
      <xdr:nvSpPr>
        <xdr:cNvPr id="80" name="Rectangle: Rounded Corners 79">
          <a:extLst>
            <a:ext uri="{FF2B5EF4-FFF2-40B4-BE49-F238E27FC236}">
              <a16:creationId xmlns:a16="http://schemas.microsoft.com/office/drawing/2014/main" id="{8822E69C-0FA9-48B5-AF3D-A393E4A2EF73}"/>
            </a:ext>
          </a:extLst>
        </xdr:cNvPr>
        <xdr:cNvSpPr/>
      </xdr:nvSpPr>
      <xdr:spPr>
        <a:xfrm>
          <a:off x="8668100" y="1612896"/>
          <a:ext cx="3438352" cy="1927757"/>
        </a:xfrm>
        <a:prstGeom prst="roundRect">
          <a:avLst>
            <a:gd name="adj" fmla="val 417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410628</xdr:colOff>
      <xdr:row>20</xdr:row>
      <xdr:rowOff>14112</xdr:rowOff>
    </xdr:from>
    <xdr:to>
      <xdr:col>8</xdr:col>
      <xdr:colOff>254000</xdr:colOff>
      <xdr:row>32</xdr:row>
      <xdr:rowOff>95249</xdr:rowOff>
    </xdr:to>
    <xdr:sp macro="" textlink="">
      <xdr:nvSpPr>
        <xdr:cNvPr id="81" name="Rectangle: Rounded Corners 80">
          <a:extLst>
            <a:ext uri="{FF2B5EF4-FFF2-40B4-BE49-F238E27FC236}">
              <a16:creationId xmlns:a16="http://schemas.microsoft.com/office/drawing/2014/main" id="{6A5888D6-B583-4FD0-B188-4E0D3503295A}"/>
            </a:ext>
          </a:extLst>
        </xdr:cNvPr>
        <xdr:cNvSpPr/>
      </xdr:nvSpPr>
      <xdr:spPr>
        <a:xfrm>
          <a:off x="1638295" y="3612445"/>
          <a:ext cx="3526372" cy="2240137"/>
        </a:xfrm>
        <a:prstGeom prst="roundRect">
          <a:avLst>
            <a:gd name="adj" fmla="val 82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119062</xdr:colOff>
      <xdr:row>0</xdr:row>
      <xdr:rowOff>71438</xdr:rowOff>
    </xdr:from>
    <xdr:to>
      <xdr:col>19</xdr:col>
      <xdr:colOff>293687</xdr:colOff>
      <xdr:row>1</xdr:row>
      <xdr:rowOff>61686</xdr:rowOff>
    </xdr:to>
    <xdr:pic>
      <xdr:nvPicPr>
        <xdr:cNvPr id="93" name="Picture 92" descr="Throw ">
          <a:extLst>
            <a:ext uri="{FF2B5EF4-FFF2-40B4-BE49-F238E27FC236}">
              <a16:creationId xmlns:a16="http://schemas.microsoft.com/office/drawing/2014/main" id="{04F150F3-8E55-4662-A608-49F6E09C4C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10800000">
          <a:off x="11731625" y="71438"/>
          <a:ext cx="174625" cy="172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41276</xdr:colOff>
      <xdr:row>3</xdr:row>
      <xdr:rowOff>17462</xdr:rowOff>
    </xdr:from>
    <xdr:to>
      <xdr:col>0</xdr:col>
      <xdr:colOff>388938</xdr:colOff>
      <xdr:row>4</xdr:row>
      <xdr:rowOff>31750</xdr:rowOff>
    </xdr:to>
    <xdr:pic>
      <xdr:nvPicPr>
        <xdr:cNvPr id="99" name="Picture 98">
          <a:extLst>
            <a:ext uri="{FF2B5EF4-FFF2-40B4-BE49-F238E27FC236}">
              <a16:creationId xmlns:a16="http://schemas.microsoft.com/office/drawing/2014/main" id="{C1FA0D67-1E57-4555-8C69-983423A40C75}"/>
            </a:ext>
          </a:extLst>
        </xdr:cNvPr>
        <xdr:cNvPicPr>
          <a:picLocks noChangeAspect="1"/>
        </xdr:cNvPicPr>
      </xdr:nvPicPr>
      <xdr:blipFill>
        <a:blip xmlns:r="http://schemas.openxmlformats.org/officeDocument/2006/relationships" r:embed="rId2"/>
        <a:stretch>
          <a:fillRect/>
        </a:stretch>
      </xdr:blipFill>
      <xdr:spPr>
        <a:xfrm>
          <a:off x="41276" y="565150"/>
          <a:ext cx="347662" cy="196850"/>
        </a:xfrm>
        <a:prstGeom prst="rect">
          <a:avLst/>
        </a:prstGeom>
      </xdr:spPr>
    </xdr:pic>
    <xdr:clientData/>
  </xdr:twoCellAnchor>
  <xdr:twoCellAnchor editAs="oneCell">
    <xdr:from>
      <xdr:col>11</xdr:col>
      <xdr:colOff>134938</xdr:colOff>
      <xdr:row>2</xdr:row>
      <xdr:rowOff>174627</xdr:rowOff>
    </xdr:from>
    <xdr:to>
      <xdr:col>11</xdr:col>
      <xdr:colOff>407645</xdr:colOff>
      <xdr:row>4</xdr:row>
      <xdr:rowOff>79376</xdr:rowOff>
    </xdr:to>
    <xdr:pic>
      <xdr:nvPicPr>
        <xdr:cNvPr id="97" name="Picture 96" descr="People ">
          <a:extLst>
            <a:ext uri="{FF2B5EF4-FFF2-40B4-BE49-F238E27FC236}">
              <a16:creationId xmlns:a16="http://schemas.microsoft.com/office/drawing/2014/main" id="{B7B19F01-4503-4853-8C9F-85E21410922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858001" y="539752"/>
          <a:ext cx="272707" cy="269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333374</xdr:colOff>
      <xdr:row>2</xdr:row>
      <xdr:rowOff>158752</xdr:rowOff>
    </xdr:from>
    <xdr:to>
      <xdr:col>18</xdr:col>
      <xdr:colOff>15874</xdr:colOff>
      <xdr:row>4</xdr:row>
      <xdr:rowOff>84263</xdr:rowOff>
    </xdr:to>
    <xdr:pic>
      <xdr:nvPicPr>
        <xdr:cNvPr id="103" name="Picture 102" descr="Refresh ">
          <a:extLst>
            <a:ext uri="{FF2B5EF4-FFF2-40B4-BE49-F238E27FC236}">
              <a16:creationId xmlns:a16="http://schemas.microsoft.com/office/drawing/2014/main" id="{C5F926E7-6E62-4ADB-A1FE-3651915CB7C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723562" y="523877"/>
          <a:ext cx="293687" cy="2906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xdr:row>
      <xdr:rowOff>127002</xdr:rowOff>
    </xdr:from>
    <xdr:to>
      <xdr:col>0</xdr:col>
      <xdr:colOff>548062</xdr:colOff>
      <xdr:row>9</xdr:row>
      <xdr:rowOff>119064</xdr:rowOff>
    </xdr:to>
    <xdr:pic>
      <xdr:nvPicPr>
        <xdr:cNvPr id="104" name="Picture 103" descr="Trophy ">
          <a:extLst>
            <a:ext uri="{FF2B5EF4-FFF2-40B4-BE49-F238E27FC236}">
              <a16:creationId xmlns:a16="http://schemas.microsoft.com/office/drawing/2014/main" id="{31766040-19FA-47F4-8164-727F1DB6E0D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206502"/>
          <a:ext cx="548062" cy="531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142876</xdr:colOff>
      <xdr:row>11</xdr:row>
      <xdr:rowOff>39688</xdr:rowOff>
    </xdr:from>
    <xdr:to>
      <xdr:col>1</xdr:col>
      <xdr:colOff>47625</xdr:colOff>
      <xdr:row>14</xdr:row>
      <xdr:rowOff>7938</xdr:rowOff>
    </xdr:to>
    <xdr:pic>
      <xdr:nvPicPr>
        <xdr:cNvPr id="105" name="Picture 104">
          <a:extLst>
            <a:ext uri="{FF2B5EF4-FFF2-40B4-BE49-F238E27FC236}">
              <a16:creationId xmlns:a16="http://schemas.microsoft.com/office/drawing/2014/main" id="{6C72C7AF-C1C1-4969-8D5F-911EE06E01D8}"/>
            </a:ext>
          </a:extLst>
        </xdr:cNvPr>
        <xdr:cNvPicPr>
          <a:picLocks noChangeAspect="1"/>
        </xdr:cNvPicPr>
      </xdr:nvPicPr>
      <xdr:blipFill>
        <a:blip xmlns:r="http://schemas.openxmlformats.org/officeDocument/2006/relationships" r:embed="rId6"/>
        <a:stretch>
          <a:fillRect/>
        </a:stretch>
      </xdr:blipFill>
      <xdr:spPr>
        <a:xfrm>
          <a:off x="142876" y="2047876"/>
          <a:ext cx="515937" cy="515937"/>
        </a:xfrm>
        <a:prstGeom prst="rect">
          <a:avLst/>
        </a:prstGeom>
      </xdr:spPr>
    </xdr:pic>
    <xdr:clientData/>
  </xdr:twoCellAnchor>
  <xdr:twoCellAnchor editAs="oneCell">
    <xdr:from>
      <xdr:col>0</xdr:col>
      <xdr:colOff>501651</xdr:colOff>
      <xdr:row>16</xdr:row>
      <xdr:rowOff>152401</xdr:rowOff>
    </xdr:from>
    <xdr:to>
      <xdr:col>1</xdr:col>
      <xdr:colOff>381000</xdr:colOff>
      <xdr:row>19</xdr:row>
      <xdr:rowOff>95250</xdr:rowOff>
    </xdr:to>
    <xdr:pic>
      <xdr:nvPicPr>
        <xdr:cNvPr id="106" name="Picture 105">
          <a:extLst>
            <a:ext uri="{FF2B5EF4-FFF2-40B4-BE49-F238E27FC236}">
              <a16:creationId xmlns:a16="http://schemas.microsoft.com/office/drawing/2014/main" id="{B94C04DE-D2DF-4DC8-ACC1-025AEBD19C98}"/>
            </a:ext>
          </a:extLst>
        </xdr:cNvPr>
        <xdr:cNvPicPr>
          <a:picLocks noChangeAspect="1"/>
        </xdr:cNvPicPr>
      </xdr:nvPicPr>
      <xdr:blipFill>
        <a:blip xmlns:r="http://schemas.openxmlformats.org/officeDocument/2006/relationships" r:embed="rId7"/>
        <a:stretch>
          <a:fillRect/>
        </a:stretch>
      </xdr:blipFill>
      <xdr:spPr>
        <a:xfrm>
          <a:off x="501651" y="3073401"/>
          <a:ext cx="490537" cy="490537"/>
        </a:xfrm>
        <a:prstGeom prst="rect">
          <a:avLst/>
        </a:prstGeom>
      </xdr:spPr>
    </xdr:pic>
    <xdr:clientData/>
  </xdr:twoCellAnchor>
  <xdr:twoCellAnchor editAs="oneCell">
    <xdr:from>
      <xdr:col>0</xdr:col>
      <xdr:colOff>166689</xdr:colOff>
      <xdr:row>21</xdr:row>
      <xdr:rowOff>87312</xdr:rowOff>
    </xdr:from>
    <xdr:to>
      <xdr:col>1</xdr:col>
      <xdr:colOff>124981</xdr:colOff>
      <xdr:row>24</xdr:row>
      <xdr:rowOff>103188</xdr:rowOff>
    </xdr:to>
    <xdr:pic>
      <xdr:nvPicPr>
        <xdr:cNvPr id="108" name="Picture 107" descr="Sports stadium ">
          <a:extLst>
            <a:ext uri="{FF2B5EF4-FFF2-40B4-BE49-F238E27FC236}">
              <a16:creationId xmlns:a16="http://schemas.microsoft.com/office/drawing/2014/main" id="{359D4B55-FB1A-4546-AE76-D3A665853D4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6689" y="3921125"/>
          <a:ext cx="569480" cy="563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242879</xdr:colOff>
      <xdr:row>2</xdr:row>
      <xdr:rowOff>139708</xdr:rowOff>
    </xdr:from>
    <xdr:to>
      <xdr:col>5</xdr:col>
      <xdr:colOff>414326</xdr:colOff>
      <xdr:row>4</xdr:row>
      <xdr:rowOff>79377</xdr:rowOff>
    </xdr:to>
    <xdr:sp macro="" textlink="">
      <xdr:nvSpPr>
        <xdr:cNvPr id="116" name="TextBox 115">
          <a:extLst>
            <a:ext uri="{FF2B5EF4-FFF2-40B4-BE49-F238E27FC236}">
              <a16:creationId xmlns:a16="http://schemas.microsoft.com/office/drawing/2014/main" id="{9666E659-9719-464B-85E7-7F8A2240EC57}"/>
            </a:ext>
          </a:extLst>
        </xdr:cNvPr>
        <xdr:cNvSpPr txBox="1"/>
      </xdr:nvSpPr>
      <xdr:spPr>
        <a:xfrm>
          <a:off x="2687629" y="504833"/>
          <a:ext cx="782635" cy="304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Team</a:t>
          </a:r>
        </a:p>
      </xdr:txBody>
    </xdr:sp>
    <xdr:clientData/>
  </xdr:twoCellAnchor>
  <xdr:twoCellAnchor>
    <xdr:from>
      <xdr:col>0</xdr:col>
      <xdr:colOff>515937</xdr:colOff>
      <xdr:row>6</xdr:row>
      <xdr:rowOff>93671</xdr:rowOff>
    </xdr:from>
    <xdr:to>
      <xdr:col>2</xdr:col>
      <xdr:colOff>312725</xdr:colOff>
      <xdr:row>7</xdr:row>
      <xdr:rowOff>111126</xdr:rowOff>
    </xdr:to>
    <xdr:sp macro="" textlink="">
      <xdr:nvSpPr>
        <xdr:cNvPr id="120" name="TextBox 119">
          <a:extLst>
            <a:ext uri="{FF2B5EF4-FFF2-40B4-BE49-F238E27FC236}">
              <a16:creationId xmlns:a16="http://schemas.microsoft.com/office/drawing/2014/main" id="{30DAB9A0-2C75-4D72-BCF5-104018949C97}"/>
            </a:ext>
          </a:extLst>
        </xdr:cNvPr>
        <xdr:cNvSpPr txBox="1"/>
      </xdr:nvSpPr>
      <xdr:spPr>
        <a:xfrm>
          <a:off x="515937" y="1189046"/>
          <a:ext cx="1019163" cy="200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a:solidFill>
              <a:schemeClr val="tx1"/>
            </a:solidFill>
          </a:endParaRPr>
        </a:p>
      </xdr:txBody>
    </xdr:sp>
    <xdr:clientData/>
  </xdr:twoCellAnchor>
  <xdr:twoCellAnchor>
    <xdr:from>
      <xdr:col>8</xdr:col>
      <xdr:colOff>309028</xdr:colOff>
      <xdr:row>20</xdr:row>
      <xdr:rowOff>50095</xdr:rowOff>
    </xdr:from>
    <xdr:to>
      <xdr:col>14</xdr:col>
      <xdr:colOff>152400</xdr:colOff>
      <xdr:row>32</xdr:row>
      <xdr:rowOff>131232</xdr:rowOff>
    </xdr:to>
    <xdr:sp macro="" textlink="">
      <xdr:nvSpPr>
        <xdr:cNvPr id="82" name="Rectangle: Rounded Corners 81">
          <a:extLst>
            <a:ext uri="{FF2B5EF4-FFF2-40B4-BE49-F238E27FC236}">
              <a16:creationId xmlns:a16="http://schemas.microsoft.com/office/drawing/2014/main" id="{9DE7B47B-5E24-4FC0-885C-FDA3408026DA}"/>
            </a:ext>
          </a:extLst>
        </xdr:cNvPr>
        <xdr:cNvSpPr/>
      </xdr:nvSpPr>
      <xdr:spPr>
        <a:xfrm>
          <a:off x="5219695" y="3648428"/>
          <a:ext cx="3526372" cy="2240137"/>
        </a:xfrm>
        <a:prstGeom prst="roundRect">
          <a:avLst>
            <a:gd name="adj" fmla="val 82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186263</xdr:colOff>
      <xdr:row>20</xdr:row>
      <xdr:rowOff>64912</xdr:rowOff>
    </xdr:from>
    <xdr:to>
      <xdr:col>19</xdr:col>
      <xdr:colOff>497418</xdr:colOff>
      <xdr:row>32</xdr:row>
      <xdr:rowOff>146049</xdr:rowOff>
    </xdr:to>
    <xdr:sp macro="" textlink="">
      <xdr:nvSpPr>
        <xdr:cNvPr id="83" name="Rectangle: Rounded Corners 82">
          <a:extLst>
            <a:ext uri="{FF2B5EF4-FFF2-40B4-BE49-F238E27FC236}">
              <a16:creationId xmlns:a16="http://schemas.microsoft.com/office/drawing/2014/main" id="{999AC050-DF17-4789-9000-7788C6B50545}"/>
            </a:ext>
          </a:extLst>
        </xdr:cNvPr>
        <xdr:cNvSpPr/>
      </xdr:nvSpPr>
      <xdr:spPr>
        <a:xfrm>
          <a:off x="8779930" y="3663245"/>
          <a:ext cx="3380321" cy="2240137"/>
        </a:xfrm>
        <a:prstGeom prst="roundRect">
          <a:avLst>
            <a:gd name="adj" fmla="val 82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30</xdr:col>
      <xdr:colOff>599161</xdr:colOff>
      <xdr:row>37</xdr:row>
      <xdr:rowOff>95250</xdr:rowOff>
    </xdr:to>
    <xdr:sp macro="" textlink="">
      <xdr:nvSpPr>
        <xdr:cNvPr id="18" name="Rectangle: Rounded Corners 17">
          <a:extLst>
            <a:ext uri="{FF2B5EF4-FFF2-40B4-BE49-F238E27FC236}">
              <a16:creationId xmlns:a16="http://schemas.microsoft.com/office/drawing/2014/main" id="{05164BAE-00CD-42F7-8267-E3A3144CFFE4}"/>
            </a:ext>
          </a:extLst>
        </xdr:cNvPr>
        <xdr:cNvSpPr/>
      </xdr:nvSpPr>
      <xdr:spPr>
        <a:xfrm>
          <a:off x="0" y="0"/>
          <a:ext cx="19014161" cy="6752167"/>
        </a:xfrm>
        <a:prstGeom prst="roundRect">
          <a:avLst>
            <a:gd name="adj" fmla="val 0"/>
          </a:avLst>
        </a:prstGeom>
        <a:solidFill>
          <a:srgbClr val="1A2E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19822</xdr:colOff>
      <xdr:row>0</xdr:row>
      <xdr:rowOff>42177</xdr:rowOff>
    </xdr:from>
    <xdr:to>
      <xdr:col>30</xdr:col>
      <xdr:colOff>549602</xdr:colOff>
      <xdr:row>2</xdr:row>
      <xdr:rowOff>179091</xdr:rowOff>
    </xdr:to>
    <xdr:sp macro="" textlink="">
      <xdr:nvSpPr>
        <xdr:cNvPr id="3" name="Rectangle: Rounded Corners 2">
          <a:extLst>
            <a:ext uri="{FF2B5EF4-FFF2-40B4-BE49-F238E27FC236}">
              <a16:creationId xmlns:a16="http://schemas.microsoft.com/office/drawing/2014/main" id="{74FCDB19-7210-4438-A121-6747C454E17E}"/>
            </a:ext>
          </a:extLst>
        </xdr:cNvPr>
        <xdr:cNvSpPr/>
      </xdr:nvSpPr>
      <xdr:spPr>
        <a:xfrm>
          <a:off x="19822" y="42177"/>
          <a:ext cx="18944780" cy="496747"/>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92513</xdr:colOff>
      <xdr:row>3</xdr:row>
      <xdr:rowOff>0</xdr:rowOff>
    </xdr:from>
    <xdr:to>
      <xdr:col>8</xdr:col>
      <xdr:colOff>391584</xdr:colOff>
      <xdr:row>5</xdr:row>
      <xdr:rowOff>21166</xdr:rowOff>
    </xdr:to>
    <xdr:sp macro="" textlink="">
      <xdr:nvSpPr>
        <xdr:cNvPr id="4" name="Rectangle: Rounded Corners 3">
          <a:extLst>
            <a:ext uri="{FF2B5EF4-FFF2-40B4-BE49-F238E27FC236}">
              <a16:creationId xmlns:a16="http://schemas.microsoft.com/office/drawing/2014/main" id="{8F3FE2A5-AAE4-45CA-AEAC-8CD0761F2A0F}"/>
            </a:ext>
          </a:extLst>
        </xdr:cNvPr>
        <xdr:cNvSpPr/>
      </xdr:nvSpPr>
      <xdr:spPr>
        <a:xfrm>
          <a:off x="92513" y="539750"/>
          <a:ext cx="5209738" cy="380999"/>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47083</xdr:colOff>
      <xdr:row>5</xdr:row>
      <xdr:rowOff>18929</xdr:rowOff>
    </xdr:from>
    <xdr:to>
      <xdr:col>3</xdr:col>
      <xdr:colOff>607546</xdr:colOff>
      <xdr:row>37</xdr:row>
      <xdr:rowOff>40578</xdr:rowOff>
    </xdr:to>
    <xdr:sp macro="" textlink="">
      <xdr:nvSpPr>
        <xdr:cNvPr id="17" name="Rectangle: Rounded Corners 16">
          <a:extLst>
            <a:ext uri="{FF2B5EF4-FFF2-40B4-BE49-F238E27FC236}">
              <a16:creationId xmlns:a16="http://schemas.microsoft.com/office/drawing/2014/main" id="{E01F459F-842B-4A49-97A5-CFC4FD1629CB}"/>
            </a:ext>
          </a:extLst>
        </xdr:cNvPr>
        <xdr:cNvSpPr/>
      </xdr:nvSpPr>
      <xdr:spPr>
        <a:xfrm>
          <a:off x="47083" y="918512"/>
          <a:ext cx="2401963" cy="5778983"/>
        </a:xfrm>
        <a:prstGeom prst="roundRect">
          <a:avLst>
            <a:gd name="adj" fmla="val 2794"/>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257392</xdr:colOff>
      <xdr:row>5</xdr:row>
      <xdr:rowOff>21276</xdr:rowOff>
    </xdr:from>
    <xdr:to>
      <xdr:col>14</xdr:col>
      <xdr:colOff>432692</xdr:colOff>
      <xdr:row>9</xdr:row>
      <xdr:rowOff>106868</xdr:rowOff>
    </xdr:to>
    <xdr:sp macro="" textlink="">
      <xdr:nvSpPr>
        <xdr:cNvPr id="67" name="Rectangle: Rounded Corners 66">
          <a:extLst>
            <a:ext uri="{FF2B5EF4-FFF2-40B4-BE49-F238E27FC236}">
              <a16:creationId xmlns:a16="http://schemas.microsoft.com/office/drawing/2014/main" id="{584670A6-BC7F-408E-B5B5-EC9B5F55DC0C}"/>
            </a:ext>
          </a:extLst>
        </xdr:cNvPr>
        <xdr:cNvSpPr/>
      </xdr:nvSpPr>
      <xdr:spPr>
        <a:xfrm>
          <a:off x="5781892" y="920859"/>
          <a:ext cx="3244467" cy="805259"/>
        </a:xfrm>
        <a:prstGeom prst="roundRect">
          <a:avLst/>
        </a:prstGeom>
        <a:solidFill>
          <a:srgbClr val="00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498769</xdr:colOff>
      <xdr:row>5</xdr:row>
      <xdr:rowOff>23035</xdr:rowOff>
    </xdr:from>
    <xdr:to>
      <xdr:col>20</xdr:col>
      <xdr:colOff>60236</xdr:colOff>
      <xdr:row>9</xdr:row>
      <xdr:rowOff>92223</xdr:rowOff>
    </xdr:to>
    <xdr:sp macro="" textlink="">
      <xdr:nvSpPr>
        <xdr:cNvPr id="68" name="Rectangle: Rounded Corners 67">
          <a:extLst>
            <a:ext uri="{FF2B5EF4-FFF2-40B4-BE49-F238E27FC236}">
              <a16:creationId xmlns:a16="http://schemas.microsoft.com/office/drawing/2014/main" id="{C72A3980-77F7-46B7-A382-083E5D7CE002}"/>
            </a:ext>
          </a:extLst>
        </xdr:cNvPr>
        <xdr:cNvSpPr/>
      </xdr:nvSpPr>
      <xdr:spPr>
        <a:xfrm>
          <a:off x="9092436" y="922618"/>
          <a:ext cx="3244467" cy="78885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377604</xdr:colOff>
      <xdr:row>5</xdr:row>
      <xdr:rowOff>21859</xdr:rowOff>
    </xdr:from>
    <xdr:to>
      <xdr:col>30</xdr:col>
      <xdr:colOff>552904</xdr:colOff>
      <xdr:row>9</xdr:row>
      <xdr:rowOff>82459</xdr:rowOff>
    </xdr:to>
    <xdr:sp macro="" textlink="">
      <xdr:nvSpPr>
        <xdr:cNvPr id="69" name="Rectangle: Rounded Corners 68">
          <a:extLst>
            <a:ext uri="{FF2B5EF4-FFF2-40B4-BE49-F238E27FC236}">
              <a16:creationId xmlns:a16="http://schemas.microsoft.com/office/drawing/2014/main" id="{35EF07BB-BCFF-4DAE-8089-1FF89D1490A6}"/>
            </a:ext>
          </a:extLst>
        </xdr:cNvPr>
        <xdr:cNvSpPr/>
      </xdr:nvSpPr>
      <xdr:spPr>
        <a:xfrm>
          <a:off x="15723437" y="921442"/>
          <a:ext cx="3244467" cy="780267"/>
        </a:xfrm>
        <a:prstGeom prst="round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132922</xdr:colOff>
      <xdr:row>5</xdr:row>
      <xdr:rowOff>23619</xdr:rowOff>
    </xdr:from>
    <xdr:to>
      <xdr:col>25</xdr:col>
      <xdr:colOff>308223</xdr:colOff>
      <xdr:row>9</xdr:row>
      <xdr:rowOff>83436</xdr:rowOff>
    </xdr:to>
    <xdr:sp macro="" textlink="">
      <xdr:nvSpPr>
        <xdr:cNvPr id="70" name="Rectangle: Rounded Corners 69">
          <a:extLst>
            <a:ext uri="{FF2B5EF4-FFF2-40B4-BE49-F238E27FC236}">
              <a16:creationId xmlns:a16="http://schemas.microsoft.com/office/drawing/2014/main" id="{41BE6AC8-0BE5-40A8-8D90-88A97DB8EBDE}"/>
            </a:ext>
          </a:extLst>
        </xdr:cNvPr>
        <xdr:cNvSpPr/>
      </xdr:nvSpPr>
      <xdr:spPr>
        <a:xfrm>
          <a:off x="12409589" y="923202"/>
          <a:ext cx="3244467" cy="779484"/>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213255</xdr:colOff>
      <xdr:row>0</xdr:row>
      <xdr:rowOff>78816</xdr:rowOff>
    </xdr:from>
    <xdr:to>
      <xdr:col>2</xdr:col>
      <xdr:colOff>139336</xdr:colOff>
      <xdr:row>2</xdr:row>
      <xdr:rowOff>170304</xdr:rowOff>
    </xdr:to>
    <xdr:pic>
      <xdr:nvPicPr>
        <xdr:cNvPr id="92" name="Picture 91" descr="IPL continues to garner interest from a wide variety of ...">
          <a:extLst>
            <a:ext uri="{FF2B5EF4-FFF2-40B4-BE49-F238E27FC236}">
              <a16:creationId xmlns:a16="http://schemas.microsoft.com/office/drawing/2014/main" id="{6169A9F5-E4BD-422A-BBE5-CB22B52568E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13255" y="78816"/>
          <a:ext cx="1153748" cy="451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28284</xdr:colOff>
      <xdr:row>0</xdr:row>
      <xdr:rowOff>8782</xdr:rowOff>
    </xdr:from>
    <xdr:to>
      <xdr:col>16</xdr:col>
      <xdr:colOff>131788</xdr:colOff>
      <xdr:row>2</xdr:row>
      <xdr:rowOff>56071</xdr:rowOff>
    </xdr:to>
    <xdr:sp macro="" textlink="">
      <xdr:nvSpPr>
        <xdr:cNvPr id="94" name="TextBox 93">
          <a:extLst>
            <a:ext uri="{FF2B5EF4-FFF2-40B4-BE49-F238E27FC236}">
              <a16:creationId xmlns:a16="http://schemas.microsoft.com/office/drawing/2014/main" id="{CA15AA21-3611-4876-9B06-80353A2E4BC9}"/>
            </a:ext>
          </a:extLst>
        </xdr:cNvPr>
        <xdr:cNvSpPr txBox="1"/>
      </xdr:nvSpPr>
      <xdr:spPr>
        <a:xfrm>
          <a:off x="3097451" y="8782"/>
          <a:ext cx="6855670" cy="407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effectLst>
                <a:glow rad="63500">
                  <a:schemeClr val="accent5">
                    <a:satMod val="175000"/>
                    <a:alpha val="40000"/>
                  </a:schemeClr>
                </a:glow>
              </a:effectLst>
            </a:rPr>
            <a:t>IPL</a:t>
          </a:r>
          <a:r>
            <a:rPr lang="en-US" sz="2400" b="1" baseline="0">
              <a:effectLst>
                <a:glow rad="63500">
                  <a:schemeClr val="accent5">
                    <a:satMod val="175000"/>
                    <a:alpha val="40000"/>
                  </a:schemeClr>
                </a:glow>
              </a:effectLst>
            </a:rPr>
            <a:t> PERFORMANCE DASHBOARD</a:t>
          </a:r>
          <a:endParaRPr lang="en-US" sz="2400" b="1">
            <a:effectLst>
              <a:glow rad="63500">
                <a:schemeClr val="accent5">
                  <a:satMod val="175000"/>
                  <a:alpha val="40000"/>
                </a:schemeClr>
              </a:glow>
            </a:effectLst>
          </a:endParaRPr>
        </a:p>
      </xdr:txBody>
    </xdr:sp>
    <xdr:clientData/>
  </xdr:twoCellAnchor>
  <xdr:twoCellAnchor>
    <xdr:from>
      <xdr:col>14</xdr:col>
      <xdr:colOff>402167</xdr:colOff>
      <xdr:row>1</xdr:row>
      <xdr:rowOff>63499</xdr:rowOff>
    </xdr:from>
    <xdr:to>
      <xdr:col>23</xdr:col>
      <xdr:colOff>101152</xdr:colOff>
      <xdr:row>3</xdr:row>
      <xdr:rowOff>43119</xdr:rowOff>
    </xdr:to>
    <xdr:sp macro="" textlink="">
      <xdr:nvSpPr>
        <xdr:cNvPr id="95" name="TextBox 94">
          <a:extLst>
            <a:ext uri="{FF2B5EF4-FFF2-40B4-BE49-F238E27FC236}">
              <a16:creationId xmlns:a16="http://schemas.microsoft.com/office/drawing/2014/main" id="{0BDFAA2D-BB56-486F-8BD9-832684CEBECA}"/>
            </a:ext>
          </a:extLst>
        </xdr:cNvPr>
        <xdr:cNvSpPr txBox="1"/>
      </xdr:nvSpPr>
      <xdr:spPr>
        <a:xfrm>
          <a:off x="8995834" y="243416"/>
          <a:ext cx="5223485" cy="339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2909E7"/>
              </a:solidFill>
            </a:rPr>
            <a:t>MATCH &amp;</a:t>
          </a:r>
          <a:r>
            <a:rPr lang="en-US" sz="2000" b="1" baseline="0">
              <a:solidFill>
                <a:srgbClr val="2909E7"/>
              </a:solidFill>
            </a:rPr>
            <a:t> PLAYER ANALYTICS</a:t>
          </a:r>
          <a:endParaRPr lang="en-US" sz="2000" b="1">
            <a:solidFill>
              <a:srgbClr val="2909E7"/>
            </a:solidFill>
          </a:endParaRPr>
        </a:p>
      </xdr:txBody>
    </xdr:sp>
    <xdr:clientData/>
  </xdr:twoCellAnchor>
  <xdr:twoCellAnchor>
    <xdr:from>
      <xdr:col>9</xdr:col>
      <xdr:colOff>434980</xdr:colOff>
      <xdr:row>6</xdr:row>
      <xdr:rowOff>4205</xdr:rowOff>
    </xdr:from>
    <xdr:to>
      <xdr:col>10</xdr:col>
      <xdr:colOff>502582</xdr:colOff>
      <xdr:row>8</xdr:row>
      <xdr:rowOff>116766</xdr:rowOff>
    </xdr:to>
    <xdr:pic>
      <xdr:nvPicPr>
        <xdr:cNvPr id="110" name="Picture 109" descr="Bat ">
          <a:extLst>
            <a:ext uri="{FF2B5EF4-FFF2-40B4-BE49-F238E27FC236}">
              <a16:creationId xmlns:a16="http://schemas.microsoft.com/office/drawing/2014/main" id="{9F77EAB2-D35B-43FF-BAFE-B24FAAD2C83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959480" y="1083705"/>
          <a:ext cx="681435" cy="472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562371</xdr:colOff>
      <xdr:row>5</xdr:row>
      <xdr:rowOff>55251</xdr:rowOff>
    </xdr:from>
    <xdr:to>
      <xdr:col>16</xdr:col>
      <xdr:colOff>305235</xdr:colOff>
      <xdr:row>9</xdr:row>
      <xdr:rowOff>2117</xdr:rowOff>
    </xdr:to>
    <xdr:pic>
      <xdr:nvPicPr>
        <xdr:cNvPr id="111" name="Picture 110" descr="Four ">
          <a:extLst>
            <a:ext uri="{FF2B5EF4-FFF2-40B4-BE49-F238E27FC236}">
              <a16:creationId xmlns:a16="http://schemas.microsoft.com/office/drawing/2014/main" id="{96BFFA64-6879-4EA6-86CA-432971BF4AFB}"/>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156038" y="954834"/>
          <a:ext cx="970530" cy="6665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216348</xdr:colOff>
      <xdr:row>5</xdr:row>
      <xdr:rowOff>81611</xdr:rowOff>
    </xdr:from>
    <xdr:to>
      <xdr:col>21</xdr:col>
      <xdr:colOff>583194</xdr:colOff>
      <xdr:row>9</xdr:row>
      <xdr:rowOff>35598</xdr:rowOff>
    </xdr:to>
    <xdr:pic>
      <xdr:nvPicPr>
        <xdr:cNvPr id="112" name="Picture 111" descr="Six ">
          <a:extLst>
            <a:ext uri="{FF2B5EF4-FFF2-40B4-BE49-F238E27FC236}">
              <a16:creationId xmlns:a16="http://schemas.microsoft.com/office/drawing/2014/main" id="{D51B6C07-DEEF-4FFA-A69D-89B3EF0E6F4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493015" y="981194"/>
          <a:ext cx="980679" cy="673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393299</xdr:colOff>
      <xdr:row>5</xdr:row>
      <xdr:rowOff>90397</xdr:rowOff>
    </xdr:from>
    <xdr:to>
      <xdr:col>27</xdr:col>
      <xdr:colOff>196389</xdr:colOff>
      <xdr:row>9</xdr:row>
      <xdr:rowOff>79531</xdr:rowOff>
    </xdr:to>
    <xdr:pic>
      <xdr:nvPicPr>
        <xdr:cNvPr id="113" name="Picture 112" descr="Stump ">
          <a:extLst>
            <a:ext uri="{FF2B5EF4-FFF2-40B4-BE49-F238E27FC236}">
              <a16:creationId xmlns:a16="http://schemas.microsoft.com/office/drawing/2014/main" id="{A56ED75C-C2A9-400E-94AB-6909D29DF32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739132" y="989980"/>
          <a:ext cx="1030757" cy="7088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587262</xdr:colOff>
      <xdr:row>3</xdr:row>
      <xdr:rowOff>11482</xdr:rowOff>
    </xdr:from>
    <xdr:to>
      <xdr:col>2</xdr:col>
      <xdr:colOff>585351</xdr:colOff>
      <xdr:row>5</xdr:row>
      <xdr:rowOff>20102</xdr:rowOff>
    </xdr:to>
    <xdr:sp macro="" textlink="">
      <xdr:nvSpPr>
        <xdr:cNvPr id="114" name="TextBox 113">
          <a:extLst>
            <a:ext uri="{FF2B5EF4-FFF2-40B4-BE49-F238E27FC236}">
              <a16:creationId xmlns:a16="http://schemas.microsoft.com/office/drawing/2014/main" id="{066A527A-4579-4985-8586-B328050CCC71}"/>
            </a:ext>
          </a:extLst>
        </xdr:cNvPr>
        <xdr:cNvSpPr txBox="1"/>
      </xdr:nvSpPr>
      <xdr:spPr>
        <a:xfrm>
          <a:off x="587262" y="551232"/>
          <a:ext cx="1225756" cy="368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Seasons</a:t>
          </a:r>
        </a:p>
        <a:p>
          <a:endParaRPr lang="en-US" sz="1600" b="1">
            <a:solidFill>
              <a:schemeClr val="tx1"/>
            </a:solidFill>
          </a:endParaRPr>
        </a:p>
      </xdr:txBody>
    </xdr:sp>
    <xdr:clientData/>
  </xdr:twoCellAnchor>
  <xdr:twoCellAnchor>
    <xdr:from>
      <xdr:col>11</xdr:col>
      <xdr:colOff>190212</xdr:colOff>
      <xdr:row>5</xdr:row>
      <xdr:rowOff>46472</xdr:rowOff>
    </xdr:from>
    <xdr:to>
      <xdr:col>14</xdr:col>
      <xdr:colOff>289790</xdr:colOff>
      <xdr:row>7</xdr:row>
      <xdr:rowOff>34000</xdr:rowOff>
    </xdr:to>
    <xdr:sp macro="" textlink="">
      <xdr:nvSpPr>
        <xdr:cNvPr id="122" name="TextBox 121">
          <a:extLst>
            <a:ext uri="{FF2B5EF4-FFF2-40B4-BE49-F238E27FC236}">
              <a16:creationId xmlns:a16="http://schemas.microsoft.com/office/drawing/2014/main" id="{E92ED4CE-ECAF-45B8-AF3B-072CEF147EBE}"/>
            </a:ext>
          </a:extLst>
        </xdr:cNvPr>
        <xdr:cNvSpPr txBox="1"/>
      </xdr:nvSpPr>
      <xdr:spPr>
        <a:xfrm>
          <a:off x="6942379" y="946055"/>
          <a:ext cx="1941078" cy="347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 RUNS</a:t>
          </a:r>
        </a:p>
      </xdr:txBody>
    </xdr:sp>
    <xdr:clientData/>
  </xdr:twoCellAnchor>
  <xdr:twoCellAnchor>
    <xdr:from>
      <xdr:col>16</xdr:col>
      <xdr:colOff>478691</xdr:colOff>
      <xdr:row>5</xdr:row>
      <xdr:rowOff>20102</xdr:rowOff>
    </xdr:from>
    <xdr:to>
      <xdr:col>19</xdr:col>
      <xdr:colOff>119834</xdr:colOff>
      <xdr:row>7</xdr:row>
      <xdr:rowOff>7630</xdr:rowOff>
    </xdr:to>
    <xdr:sp macro="" textlink="">
      <xdr:nvSpPr>
        <xdr:cNvPr id="123" name="TextBox 122">
          <a:extLst>
            <a:ext uri="{FF2B5EF4-FFF2-40B4-BE49-F238E27FC236}">
              <a16:creationId xmlns:a16="http://schemas.microsoft.com/office/drawing/2014/main" id="{6B6E973A-503B-47FC-85D3-C553C48D1EBC}"/>
            </a:ext>
          </a:extLst>
        </xdr:cNvPr>
        <xdr:cNvSpPr txBox="1"/>
      </xdr:nvSpPr>
      <xdr:spPr>
        <a:xfrm>
          <a:off x="10300024" y="919685"/>
          <a:ext cx="1482643" cy="347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TOTAL</a:t>
          </a:r>
          <a:r>
            <a:rPr lang="en-US" sz="1400" b="1">
              <a:solidFill>
                <a:schemeClr val="bg1"/>
              </a:solidFill>
            </a:rPr>
            <a:t> </a:t>
          </a:r>
          <a:r>
            <a:rPr lang="en-US" sz="1600" b="1">
              <a:solidFill>
                <a:schemeClr val="tx1"/>
              </a:solidFill>
            </a:rPr>
            <a:t>4</a:t>
          </a:r>
          <a:r>
            <a:rPr lang="en-US" sz="1100" b="1">
              <a:solidFill>
                <a:schemeClr val="tx1"/>
              </a:solidFill>
            </a:rPr>
            <a:t>S</a:t>
          </a:r>
          <a:endParaRPr lang="en-US" sz="1400" b="1">
            <a:solidFill>
              <a:schemeClr val="tx1"/>
            </a:solidFill>
          </a:endParaRPr>
        </a:p>
      </xdr:txBody>
    </xdr:sp>
    <xdr:clientData/>
  </xdr:twoCellAnchor>
  <xdr:twoCellAnchor>
    <xdr:from>
      <xdr:col>22</xdr:col>
      <xdr:colOff>202046</xdr:colOff>
      <xdr:row>5</xdr:row>
      <xdr:rowOff>32405</xdr:rowOff>
    </xdr:from>
    <xdr:to>
      <xdr:col>24</xdr:col>
      <xdr:colOff>358730</xdr:colOff>
      <xdr:row>7</xdr:row>
      <xdr:rowOff>19933</xdr:rowOff>
    </xdr:to>
    <xdr:sp macro="" textlink="">
      <xdr:nvSpPr>
        <xdr:cNvPr id="124" name="TextBox 123">
          <a:extLst>
            <a:ext uri="{FF2B5EF4-FFF2-40B4-BE49-F238E27FC236}">
              <a16:creationId xmlns:a16="http://schemas.microsoft.com/office/drawing/2014/main" id="{41103855-11F2-4369-83EE-0436F43B0C71}"/>
            </a:ext>
          </a:extLst>
        </xdr:cNvPr>
        <xdr:cNvSpPr txBox="1"/>
      </xdr:nvSpPr>
      <xdr:spPr>
        <a:xfrm>
          <a:off x="13706379" y="931988"/>
          <a:ext cx="1384351" cy="347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 </a:t>
          </a:r>
          <a:r>
            <a:rPr lang="en-US" sz="1600" b="1">
              <a:solidFill>
                <a:schemeClr val="bg1"/>
              </a:solidFill>
            </a:rPr>
            <a:t>6</a:t>
          </a:r>
          <a:r>
            <a:rPr lang="en-US" sz="1200" b="1">
              <a:solidFill>
                <a:schemeClr val="bg1"/>
              </a:solidFill>
            </a:rPr>
            <a:t>S</a:t>
          </a:r>
          <a:endParaRPr lang="en-US" sz="1400" b="1">
            <a:solidFill>
              <a:schemeClr val="bg1"/>
            </a:solidFill>
          </a:endParaRPr>
        </a:p>
      </xdr:txBody>
    </xdr:sp>
    <xdr:clientData/>
  </xdr:twoCellAnchor>
  <xdr:twoCellAnchor>
    <xdr:from>
      <xdr:col>27</xdr:col>
      <xdr:colOff>231978</xdr:colOff>
      <xdr:row>5</xdr:row>
      <xdr:rowOff>83367</xdr:rowOff>
    </xdr:from>
    <xdr:to>
      <xdr:col>31</xdr:col>
      <xdr:colOff>42334</xdr:colOff>
      <xdr:row>7</xdr:row>
      <xdr:rowOff>70895</xdr:rowOff>
    </xdr:to>
    <xdr:sp macro="" textlink="">
      <xdr:nvSpPr>
        <xdr:cNvPr id="125" name="TextBox 124">
          <a:extLst>
            <a:ext uri="{FF2B5EF4-FFF2-40B4-BE49-F238E27FC236}">
              <a16:creationId xmlns:a16="http://schemas.microsoft.com/office/drawing/2014/main" id="{EE7D672D-11C1-418A-A636-014D6855BB6F}"/>
            </a:ext>
          </a:extLst>
        </xdr:cNvPr>
        <xdr:cNvSpPr txBox="1"/>
      </xdr:nvSpPr>
      <xdr:spPr>
        <a:xfrm>
          <a:off x="16805478" y="982950"/>
          <a:ext cx="2265689" cy="347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 WICKETS</a:t>
          </a:r>
        </a:p>
      </xdr:txBody>
    </xdr:sp>
    <xdr:clientData/>
  </xdr:twoCellAnchor>
  <xdr:twoCellAnchor>
    <xdr:from>
      <xdr:col>11</xdr:col>
      <xdr:colOff>326496</xdr:colOff>
      <xdr:row>6</xdr:row>
      <xdr:rowOff>168232</xdr:rowOff>
    </xdr:from>
    <xdr:to>
      <xdr:col>14</xdr:col>
      <xdr:colOff>13084</xdr:colOff>
      <xdr:row>8</xdr:row>
      <xdr:rowOff>121788</xdr:rowOff>
    </xdr:to>
    <xdr:sp macro="" textlink="'pivot table2'!A4">
      <xdr:nvSpPr>
        <xdr:cNvPr id="130" name="TextBox 129">
          <a:extLst>
            <a:ext uri="{FF2B5EF4-FFF2-40B4-BE49-F238E27FC236}">
              <a16:creationId xmlns:a16="http://schemas.microsoft.com/office/drawing/2014/main" id="{AE05DC7A-A55C-44DD-8DD8-DD995810439D}"/>
            </a:ext>
          </a:extLst>
        </xdr:cNvPr>
        <xdr:cNvSpPr txBox="1"/>
      </xdr:nvSpPr>
      <xdr:spPr>
        <a:xfrm>
          <a:off x="7078663" y="1247732"/>
          <a:ext cx="1528088" cy="31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FB8CA83-E080-4E98-8A19-ADFB615CDA4E}" type="TxLink">
            <a:rPr lang="en-US" sz="2400" b="0" i="0" u="none" strike="noStrike">
              <a:solidFill>
                <a:schemeClr val="bg1"/>
              </a:solidFill>
              <a:latin typeface="Calibri"/>
              <a:ea typeface="Calibri"/>
              <a:cs typeface="Calibri"/>
            </a:rPr>
            <a:pPr/>
            <a:t>2960</a:t>
          </a:fld>
          <a:endParaRPr lang="en-US" sz="7200" b="1">
            <a:solidFill>
              <a:schemeClr val="bg1"/>
            </a:solidFill>
          </a:endParaRPr>
        </a:p>
      </xdr:txBody>
    </xdr:sp>
    <xdr:clientData/>
  </xdr:twoCellAnchor>
  <xdr:twoCellAnchor>
    <xdr:from>
      <xdr:col>16</xdr:col>
      <xdr:colOff>468760</xdr:colOff>
      <xdr:row>6</xdr:row>
      <xdr:rowOff>178775</xdr:rowOff>
    </xdr:from>
    <xdr:to>
      <xdr:col>19</xdr:col>
      <xdr:colOff>159476</xdr:colOff>
      <xdr:row>8</xdr:row>
      <xdr:rowOff>132331</xdr:rowOff>
    </xdr:to>
    <xdr:sp macro="" textlink="'pivot table2'!A8">
      <xdr:nvSpPr>
        <xdr:cNvPr id="131" name="TextBox 130">
          <a:extLst>
            <a:ext uri="{FF2B5EF4-FFF2-40B4-BE49-F238E27FC236}">
              <a16:creationId xmlns:a16="http://schemas.microsoft.com/office/drawing/2014/main" id="{38D38AB9-B9E6-499F-8F52-05EFEEBF6401}"/>
            </a:ext>
          </a:extLst>
        </xdr:cNvPr>
        <xdr:cNvSpPr txBox="1"/>
      </xdr:nvSpPr>
      <xdr:spPr>
        <a:xfrm>
          <a:off x="10290093" y="1258275"/>
          <a:ext cx="1532216" cy="31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91C88E8-7070-467D-8EE9-84ECD3D1E1E5}" type="TxLink">
            <a:rPr lang="en-US" sz="2800" b="0" i="0" u="none" strike="noStrike">
              <a:solidFill>
                <a:schemeClr val="tx1"/>
              </a:solidFill>
              <a:latin typeface="Calibri"/>
              <a:ea typeface="Calibri"/>
              <a:cs typeface="Calibri"/>
            </a:rPr>
            <a:pPr/>
            <a:t>260</a:t>
          </a:fld>
          <a:endParaRPr lang="en-US" sz="19900" b="1">
            <a:solidFill>
              <a:schemeClr val="tx1"/>
            </a:solidFill>
          </a:endParaRPr>
        </a:p>
      </xdr:txBody>
    </xdr:sp>
    <xdr:clientData/>
  </xdr:twoCellAnchor>
  <xdr:twoCellAnchor>
    <xdr:from>
      <xdr:col>22</xdr:col>
      <xdr:colOff>211957</xdr:colOff>
      <xdr:row>7</xdr:row>
      <xdr:rowOff>613</xdr:rowOff>
    </xdr:from>
    <xdr:to>
      <xdr:col>24</xdr:col>
      <xdr:colOff>512375</xdr:colOff>
      <xdr:row>8</xdr:row>
      <xdr:rowOff>134086</xdr:rowOff>
    </xdr:to>
    <xdr:sp macro="" textlink="'pivot table2'!A12">
      <xdr:nvSpPr>
        <xdr:cNvPr id="132" name="TextBox 131">
          <a:extLst>
            <a:ext uri="{FF2B5EF4-FFF2-40B4-BE49-F238E27FC236}">
              <a16:creationId xmlns:a16="http://schemas.microsoft.com/office/drawing/2014/main" id="{6BF88F0A-E902-43AF-9B30-B140F723EAFA}"/>
            </a:ext>
          </a:extLst>
        </xdr:cNvPr>
        <xdr:cNvSpPr txBox="1"/>
      </xdr:nvSpPr>
      <xdr:spPr>
        <a:xfrm>
          <a:off x="13716290" y="1260030"/>
          <a:ext cx="1528085" cy="31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DA890E6-C881-4663-B12B-73F70C2F6880}" type="TxLink">
            <a:rPr lang="en-US" sz="2800" b="0" i="0" u="none" strike="noStrike">
              <a:solidFill>
                <a:schemeClr val="bg1"/>
              </a:solidFill>
              <a:latin typeface="Calibri"/>
              <a:ea typeface="Calibri"/>
              <a:cs typeface="Calibri"/>
            </a:rPr>
            <a:pPr/>
            <a:t>155</a:t>
          </a:fld>
          <a:endParaRPr lang="en-US" sz="71400" b="1">
            <a:solidFill>
              <a:schemeClr val="bg1"/>
            </a:solidFill>
          </a:endParaRPr>
        </a:p>
      </xdr:txBody>
    </xdr:sp>
    <xdr:clientData/>
  </xdr:twoCellAnchor>
  <xdr:twoCellAnchor>
    <xdr:from>
      <xdr:col>27</xdr:col>
      <xdr:colOff>453334</xdr:colOff>
      <xdr:row>7</xdr:row>
      <xdr:rowOff>11157</xdr:rowOff>
    </xdr:from>
    <xdr:to>
      <xdr:col>30</xdr:col>
      <xdr:colOff>144049</xdr:colOff>
      <xdr:row>8</xdr:row>
      <xdr:rowOff>144630</xdr:rowOff>
    </xdr:to>
    <xdr:sp macro="" textlink="'pivot table2'!A16">
      <xdr:nvSpPr>
        <xdr:cNvPr id="133" name="TextBox 132">
          <a:extLst>
            <a:ext uri="{FF2B5EF4-FFF2-40B4-BE49-F238E27FC236}">
              <a16:creationId xmlns:a16="http://schemas.microsoft.com/office/drawing/2014/main" id="{19A50F81-E230-468C-8EE0-CD9E1AFDABDE}"/>
            </a:ext>
          </a:extLst>
        </xdr:cNvPr>
        <xdr:cNvSpPr txBox="1"/>
      </xdr:nvSpPr>
      <xdr:spPr>
        <a:xfrm>
          <a:off x="17026834" y="1270574"/>
          <a:ext cx="1532215" cy="31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4AC128D-BC22-42D9-B74C-ECE8421B3AF6}" type="TxLink">
            <a:rPr lang="en-US" sz="2800" b="0" i="0" u="none" strike="noStrike">
              <a:solidFill>
                <a:schemeClr val="bg1"/>
              </a:solidFill>
              <a:latin typeface="Calibri"/>
              <a:ea typeface="Calibri"/>
              <a:cs typeface="Calibri"/>
            </a:rPr>
            <a:pPr/>
            <a:t>1222</a:t>
          </a:fld>
          <a:endParaRPr lang="en-US" sz="255800" b="1">
            <a:solidFill>
              <a:schemeClr val="bg1"/>
            </a:solidFill>
          </a:endParaRPr>
        </a:p>
      </xdr:txBody>
    </xdr:sp>
    <xdr:clientData/>
  </xdr:twoCellAnchor>
  <xdr:twoCellAnchor>
    <xdr:from>
      <xdr:col>29</xdr:col>
      <xdr:colOff>64873</xdr:colOff>
      <xdr:row>0</xdr:row>
      <xdr:rowOff>35151</xdr:rowOff>
    </xdr:from>
    <xdr:to>
      <xdr:col>30</xdr:col>
      <xdr:colOff>210945</xdr:colOff>
      <xdr:row>3</xdr:row>
      <xdr:rowOff>19969</xdr:rowOff>
    </xdr:to>
    <xdr:pic>
      <xdr:nvPicPr>
        <xdr:cNvPr id="135" name="Picture 134" descr="Cricket ">
          <a:extLst>
            <a:ext uri="{FF2B5EF4-FFF2-40B4-BE49-F238E27FC236}">
              <a16:creationId xmlns:a16="http://schemas.microsoft.com/office/drawing/2014/main" id="{9FB24123-DC04-4D43-BE0F-92F94C7E433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H="1">
          <a:off x="17866040" y="35151"/>
          <a:ext cx="759905" cy="524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22620</xdr:colOff>
      <xdr:row>9</xdr:row>
      <xdr:rowOff>176187</xdr:rowOff>
    </xdr:from>
    <xdr:to>
      <xdr:col>12</xdr:col>
      <xdr:colOff>575841</xdr:colOff>
      <xdr:row>21</xdr:row>
      <xdr:rowOff>169951</xdr:rowOff>
    </xdr:to>
    <xdr:graphicFrame macro="">
      <xdr:nvGraphicFramePr>
        <xdr:cNvPr id="59" name="Chart 58">
          <a:extLst>
            <a:ext uri="{FF2B5EF4-FFF2-40B4-BE49-F238E27FC236}">
              <a16:creationId xmlns:a16="http://schemas.microsoft.com/office/drawing/2014/main" id="{4D6472CD-796B-4434-9D9B-E0B99A4E5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186848</xdr:colOff>
      <xdr:row>9</xdr:row>
      <xdr:rowOff>104163</xdr:rowOff>
    </xdr:from>
    <xdr:to>
      <xdr:col>8</xdr:col>
      <xdr:colOff>487141</xdr:colOff>
      <xdr:row>11</xdr:row>
      <xdr:rowOff>82887</xdr:rowOff>
    </xdr:to>
    <xdr:sp macro="" textlink="">
      <xdr:nvSpPr>
        <xdr:cNvPr id="60" name="TextBox 59">
          <a:extLst>
            <a:ext uri="{FF2B5EF4-FFF2-40B4-BE49-F238E27FC236}">
              <a16:creationId xmlns:a16="http://schemas.microsoft.com/office/drawing/2014/main" id="{F7F6FC67-66D5-4341-B44B-21AE9891CE04}"/>
            </a:ext>
          </a:extLst>
        </xdr:cNvPr>
        <xdr:cNvSpPr txBox="1"/>
      </xdr:nvSpPr>
      <xdr:spPr>
        <a:xfrm>
          <a:off x="3256015" y="1723413"/>
          <a:ext cx="2141793" cy="338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95000"/>
                </a:schemeClr>
              </a:solidFill>
            </a:rPr>
            <a:t>wins</a:t>
          </a:r>
          <a:r>
            <a:rPr lang="en-US" sz="1400" b="1" baseline="0">
              <a:solidFill>
                <a:schemeClr val="bg1">
                  <a:lumMod val="95000"/>
                </a:schemeClr>
              </a:solidFill>
            </a:rPr>
            <a:t> by</a:t>
          </a:r>
          <a:r>
            <a:rPr lang="en-US" sz="1400" b="1">
              <a:solidFill>
                <a:schemeClr val="bg1">
                  <a:lumMod val="95000"/>
                </a:schemeClr>
              </a:solidFill>
            </a:rPr>
            <a:t>Team</a:t>
          </a:r>
        </a:p>
      </xdr:txBody>
    </xdr:sp>
    <xdr:clientData/>
  </xdr:twoCellAnchor>
  <xdr:twoCellAnchor>
    <xdr:from>
      <xdr:col>13</xdr:col>
      <xdr:colOff>33036</xdr:colOff>
      <xdr:row>9</xdr:row>
      <xdr:rowOff>157633</xdr:rowOff>
    </xdr:from>
    <xdr:to>
      <xdr:col>22</xdr:col>
      <xdr:colOff>4644</xdr:colOff>
      <xdr:row>21</xdr:row>
      <xdr:rowOff>52794</xdr:rowOff>
    </xdr:to>
    <xdr:graphicFrame macro="">
      <xdr:nvGraphicFramePr>
        <xdr:cNvPr id="64" name="Chart 63">
          <a:extLst>
            <a:ext uri="{FF2B5EF4-FFF2-40B4-BE49-F238E27FC236}">
              <a16:creationId xmlns:a16="http://schemas.microsoft.com/office/drawing/2014/main" id="{8DC2C682-C143-4E2F-8352-A7E327110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584537</xdr:colOff>
      <xdr:row>22</xdr:row>
      <xdr:rowOff>36899</xdr:rowOff>
    </xdr:from>
    <xdr:to>
      <xdr:col>13</xdr:col>
      <xdr:colOff>58174</xdr:colOff>
      <xdr:row>35</xdr:row>
      <xdr:rowOff>158287</xdr:rowOff>
    </xdr:to>
    <xdr:graphicFrame macro="">
      <xdr:nvGraphicFramePr>
        <xdr:cNvPr id="73" name="Chart 72">
          <a:hlinkClick xmlns:r="http://schemas.openxmlformats.org/officeDocument/2006/relationships" r:id="rId17"/>
          <a:extLst>
            <a:ext uri="{FF2B5EF4-FFF2-40B4-BE49-F238E27FC236}">
              <a16:creationId xmlns:a16="http://schemas.microsoft.com/office/drawing/2014/main" id="{C3688D8B-11DC-46F4-A0BC-5130BFA98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22</xdr:col>
      <xdr:colOff>107893</xdr:colOff>
      <xdr:row>9</xdr:row>
      <xdr:rowOff>169910</xdr:rowOff>
    </xdr:from>
    <xdr:to>
      <xdr:col>30</xdr:col>
      <xdr:colOff>500045</xdr:colOff>
      <xdr:row>21</xdr:row>
      <xdr:rowOff>61163</xdr:rowOff>
    </xdr:to>
    <xdr:graphicFrame macro="">
      <xdr:nvGraphicFramePr>
        <xdr:cNvPr id="77" name="Chart 76">
          <a:extLst>
            <a:ext uri="{FF2B5EF4-FFF2-40B4-BE49-F238E27FC236}">
              <a16:creationId xmlns:a16="http://schemas.microsoft.com/office/drawing/2014/main" id="{67ABF742-2D28-40F2-9976-8DA6B3AA0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190331</xdr:colOff>
      <xdr:row>22</xdr:row>
      <xdr:rowOff>130624</xdr:rowOff>
    </xdr:from>
    <xdr:to>
      <xdr:col>22</xdr:col>
      <xdr:colOff>117327</xdr:colOff>
      <xdr:row>36</xdr:row>
      <xdr:rowOff>25234</xdr:rowOff>
    </xdr:to>
    <xdr:graphicFrame macro="">
      <xdr:nvGraphicFramePr>
        <xdr:cNvPr id="74" name="Chart 73">
          <a:hlinkClick xmlns:r="http://schemas.openxmlformats.org/officeDocument/2006/relationships" r:id="rId20"/>
          <a:extLst>
            <a:ext uri="{FF2B5EF4-FFF2-40B4-BE49-F238E27FC236}">
              <a16:creationId xmlns:a16="http://schemas.microsoft.com/office/drawing/2014/main" id="{B214B6C9-2D36-4D3D-B83D-6DFD1AC26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22</xdr:col>
      <xdr:colOff>240048</xdr:colOff>
      <xdr:row>22</xdr:row>
      <xdr:rowOff>118908</xdr:rowOff>
    </xdr:from>
    <xdr:to>
      <xdr:col>30</xdr:col>
      <xdr:colOff>566123</xdr:colOff>
      <xdr:row>36</xdr:row>
      <xdr:rowOff>118958</xdr:rowOff>
    </xdr:to>
    <xdr:graphicFrame macro="">
      <xdr:nvGraphicFramePr>
        <xdr:cNvPr id="78" name="Chart 77">
          <a:extLst>
            <a:ext uri="{FF2B5EF4-FFF2-40B4-BE49-F238E27FC236}">
              <a16:creationId xmlns:a16="http://schemas.microsoft.com/office/drawing/2014/main" id="{8B7B2A78-877D-4A57-9672-90BF9D0A0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105834</xdr:colOff>
      <xdr:row>5</xdr:row>
      <xdr:rowOff>31750</xdr:rowOff>
    </xdr:from>
    <xdr:to>
      <xdr:col>9</xdr:col>
      <xdr:colOff>201083</xdr:colOff>
      <xdr:row>9</xdr:row>
      <xdr:rowOff>116417</xdr:rowOff>
    </xdr:to>
    <xdr:sp macro="" textlink="">
      <xdr:nvSpPr>
        <xdr:cNvPr id="7" name="Rectangle: Rounded Corners 6">
          <a:extLst>
            <a:ext uri="{FF2B5EF4-FFF2-40B4-BE49-F238E27FC236}">
              <a16:creationId xmlns:a16="http://schemas.microsoft.com/office/drawing/2014/main" id="{ABAD3F80-B161-4DA2-A1AE-B48BF19D82A3}"/>
            </a:ext>
          </a:extLst>
        </xdr:cNvPr>
        <xdr:cNvSpPr/>
      </xdr:nvSpPr>
      <xdr:spPr>
        <a:xfrm>
          <a:off x="2561167" y="931333"/>
          <a:ext cx="3164416" cy="804334"/>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229119</xdr:colOff>
      <xdr:row>6</xdr:row>
      <xdr:rowOff>9596</xdr:rowOff>
    </xdr:from>
    <xdr:to>
      <xdr:col>5</xdr:col>
      <xdr:colOff>325630</xdr:colOff>
      <xdr:row>8</xdr:row>
      <xdr:rowOff>135964</xdr:rowOff>
    </xdr:to>
    <xdr:pic>
      <xdr:nvPicPr>
        <xdr:cNvPr id="109" name="Picture 108" descr="Calendar ">
          <a:extLst>
            <a:ext uri="{FF2B5EF4-FFF2-40B4-BE49-F238E27FC236}">
              <a16:creationId xmlns:a16="http://schemas.microsoft.com/office/drawing/2014/main" id="{F0539B30-30BE-4F1C-8F85-006554085546}"/>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2684452" y="1089096"/>
          <a:ext cx="710345" cy="486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601916</xdr:colOff>
      <xdr:row>5</xdr:row>
      <xdr:rowOff>116417</xdr:rowOff>
    </xdr:from>
    <xdr:to>
      <xdr:col>8</xdr:col>
      <xdr:colOff>518583</xdr:colOff>
      <xdr:row>7</xdr:row>
      <xdr:rowOff>83363</xdr:rowOff>
    </xdr:to>
    <xdr:sp macro="" textlink="">
      <xdr:nvSpPr>
        <xdr:cNvPr id="121" name="TextBox 120">
          <a:extLst>
            <a:ext uri="{FF2B5EF4-FFF2-40B4-BE49-F238E27FC236}">
              <a16:creationId xmlns:a16="http://schemas.microsoft.com/office/drawing/2014/main" id="{7438DE0B-8A7F-43DF-98DE-2D4641E6173B}"/>
            </a:ext>
          </a:extLst>
        </xdr:cNvPr>
        <xdr:cNvSpPr txBox="1"/>
      </xdr:nvSpPr>
      <xdr:spPr>
        <a:xfrm>
          <a:off x="3671083" y="1016000"/>
          <a:ext cx="1758167" cy="326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 MATCHES</a:t>
          </a:r>
        </a:p>
      </xdr:txBody>
    </xdr:sp>
    <xdr:clientData/>
  </xdr:twoCellAnchor>
  <xdr:twoCellAnchor>
    <xdr:from>
      <xdr:col>6</xdr:col>
      <xdr:colOff>259361</xdr:colOff>
      <xdr:row>7</xdr:row>
      <xdr:rowOff>32289</xdr:rowOff>
    </xdr:from>
    <xdr:to>
      <xdr:col>8</xdr:col>
      <xdr:colOff>417710</xdr:colOff>
      <xdr:row>9</xdr:row>
      <xdr:rowOff>11033</xdr:rowOff>
    </xdr:to>
    <xdr:sp macro="" textlink="#REF!">
      <xdr:nvSpPr>
        <xdr:cNvPr id="129" name="TextBox 128">
          <a:extLst>
            <a:ext uri="{FF2B5EF4-FFF2-40B4-BE49-F238E27FC236}">
              <a16:creationId xmlns:a16="http://schemas.microsoft.com/office/drawing/2014/main" id="{D7F3F9EE-FF64-4741-963D-8FFDD4460A81}"/>
            </a:ext>
          </a:extLst>
        </xdr:cNvPr>
        <xdr:cNvSpPr txBox="1"/>
      </xdr:nvSpPr>
      <xdr:spPr>
        <a:xfrm>
          <a:off x="3942361" y="1291706"/>
          <a:ext cx="1386016" cy="338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4BAE968-8E69-4E04-AD88-22F04466CEAF}" type="TxLink">
            <a:rPr lang="en-US" sz="2800" b="0" i="0" u="none" strike="noStrike">
              <a:solidFill>
                <a:schemeClr val="bg1"/>
              </a:solidFill>
              <a:latin typeface="Calibri"/>
              <a:ea typeface="Calibri"/>
              <a:cs typeface="Calibri"/>
            </a:rPr>
            <a:pPr/>
            <a:t>500</a:t>
          </a:fld>
          <a:endParaRPr lang="en-US" sz="4000" b="1">
            <a:solidFill>
              <a:schemeClr val="bg1"/>
            </a:solidFill>
          </a:endParaRPr>
        </a:p>
      </xdr:txBody>
    </xdr:sp>
    <xdr:clientData/>
  </xdr:twoCellAnchor>
  <xdr:twoCellAnchor editAs="oneCell">
    <xdr:from>
      <xdr:col>0</xdr:col>
      <xdr:colOff>84667</xdr:colOff>
      <xdr:row>5</xdr:row>
      <xdr:rowOff>52927</xdr:rowOff>
    </xdr:from>
    <xdr:to>
      <xdr:col>3</xdr:col>
      <xdr:colOff>560916</xdr:colOff>
      <xdr:row>22</xdr:row>
      <xdr:rowOff>116417</xdr:rowOff>
    </xdr:to>
    <mc:AlternateContent xmlns:mc="http://schemas.openxmlformats.org/markup-compatibility/2006" xmlns:a14="http://schemas.microsoft.com/office/drawing/2010/main">
      <mc:Choice Requires="a14">
        <xdr:graphicFrame macro="">
          <xdr:nvGraphicFramePr>
            <xdr:cNvPr id="72" name="Venue">
              <a:extLst>
                <a:ext uri="{FF2B5EF4-FFF2-40B4-BE49-F238E27FC236}">
                  <a16:creationId xmlns:a16="http://schemas.microsoft.com/office/drawing/2014/main" id="{BC57AC81-DA53-4242-B5FE-FC09712624E2}"/>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84667" y="952510"/>
              <a:ext cx="2317749" cy="3122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22</xdr:row>
      <xdr:rowOff>148167</xdr:rowOff>
    </xdr:from>
    <xdr:to>
      <xdr:col>3</xdr:col>
      <xdr:colOff>529167</xdr:colOff>
      <xdr:row>37</xdr:row>
      <xdr:rowOff>5293</xdr:rowOff>
    </xdr:to>
    <mc:AlternateContent xmlns:mc="http://schemas.openxmlformats.org/markup-compatibility/2006" xmlns:a14="http://schemas.microsoft.com/office/drawing/2010/main">
      <mc:Choice Requires="a14">
        <xdr:graphicFrame macro="">
          <xdr:nvGraphicFramePr>
            <xdr:cNvPr id="75" name="Team">
              <a:extLst>
                <a:ext uri="{FF2B5EF4-FFF2-40B4-BE49-F238E27FC236}">
                  <a16:creationId xmlns:a16="http://schemas.microsoft.com/office/drawing/2014/main" id="{97E623AA-6299-47EE-9AD5-7F6F076A9847}"/>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63500" y="4106334"/>
              <a:ext cx="2307167" cy="2555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340160</xdr:colOff>
      <xdr:row>3</xdr:row>
      <xdr:rowOff>52262</xdr:rowOff>
    </xdr:from>
    <xdr:to>
      <xdr:col>4</xdr:col>
      <xdr:colOff>359833</xdr:colOff>
      <xdr:row>4</xdr:row>
      <xdr:rowOff>137582</xdr:rowOff>
    </xdr:to>
    <xdr:sp macro="" textlink="">
      <xdr:nvSpPr>
        <xdr:cNvPr id="65" name="Rectangle: Rounded Corners 64">
          <a:extLst>
            <a:ext uri="{FF2B5EF4-FFF2-40B4-BE49-F238E27FC236}">
              <a16:creationId xmlns:a16="http://schemas.microsoft.com/office/drawing/2014/main" id="{AF72BC5B-EBFD-4D4E-B10F-9D7D8DD71FF9}"/>
            </a:ext>
          </a:extLst>
        </xdr:cNvPr>
        <xdr:cNvSpPr/>
      </xdr:nvSpPr>
      <xdr:spPr>
        <a:xfrm>
          <a:off x="1567827" y="592012"/>
          <a:ext cx="1247339" cy="26523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317723</xdr:colOff>
      <xdr:row>3</xdr:row>
      <xdr:rowOff>64606</xdr:rowOff>
    </xdr:from>
    <xdr:to>
      <xdr:col>9</xdr:col>
      <xdr:colOff>306918</xdr:colOff>
      <xdr:row>5</xdr:row>
      <xdr:rowOff>21171</xdr:rowOff>
    </xdr:to>
    <xdr:sp macro="" textlink="">
      <xdr:nvSpPr>
        <xdr:cNvPr id="76" name="Rectangle: Rounded Corners 75">
          <a:extLst>
            <a:ext uri="{FF2B5EF4-FFF2-40B4-BE49-F238E27FC236}">
              <a16:creationId xmlns:a16="http://schemas.microsoft.com/office/drawing/2014/main" id="{C887E5A6-74A6-4040-AB9B-444BA6E0A523}"/>
            </a:ext>
          </a:extLst>
        </xdr:cNvPr>
        <xdr:cNvSpPr/>
      </xdr:nvSpPr>
      <xdr:spPr>
        <a:xfrm>
          <a:off x="4614556" y="604356"/>
          <a:ext cx="1216862" cy="31639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388847</xdr:colOff>
      <xdr:row>2</xdr:row>
      <xdr:rowOff>175029</xdr:rowOff>
    </xdr:from>
    <xdr:to>
      <xdr:col>8</xdr:col>
      <xdr:colOff>318997</xdr:colOff>
      <xdr:row>5</xdr:row>
      <xdr:rowOff>22628</xdr:rowOff>
    </xdr:to>
    <mc:AlternateContent xmlns:mc="http://schemas.openxmlformats.org/markup-compatibility/2006">
      <mc:Choice xmlns:a14="http://schemas.microsoft.com/office/drawing/2010/main" Requires="a14">
        <xdr:graphicFrame macro="">
          <xdr:nvGraphicFramePr>
            <xdr:cNvPr id="84" name="Season">
              <a:extLst>
                <a:ext uri="{FF2B5EF4-FFF2-40B4-BE49-F238E27FC236}">
                  <a16:creationId xmlns:a16="http://schemas.microsoft.com/office/drawing/2014/main" id="{4BCC486D-9DD3-4D64-A403-DBC50F022254}"/>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616514" y="534862"/>
              <a:ext cx="3613150" cy="387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603250</xdr:colOff>
      <xdr:row>20</xdr:row>
      <xdr:rowOff>114300</xdr:rowOff>
    </xdr:to>
    <xdr:graphicFrame macro="">
      <xdr:nvGraphicFramePr>
        <xdr:cNvPr id="2" name="Chart 1">
          <a:extLst>
            <a:ext uri="{FF2B5EF4-FFF2-40B4-BE49-F238E27FC236}">
              <a16:creationId xmlns:a16="http://schemas.microsoft.com/office/drawing/2014/main" id="{C0ACEAC6-8337-4B4C-A789-301DD147D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50800</xdr:colOff>
      <xdr:row>1</xdr:row>
      <xdr:rowOff>31750</xdr:rowOff>
    </xdr:from>
    <xdr:to>
      <xdr:col>11</xdr:col>
      <xdr:colOff>533400</xdr:colOff>
      <xdr:row>3</xdr:row>
      <xdr:rowOff>146050</xdr:rowOff>
    </xdr:to>
    <xdr:pic>
      <xdr:nvPicPr>
        <xdr:cNvPr id="3" name="chart">
          <a:hlinkClick xmlns:r="http://schemas.openxmlformats.org/officeDocument/2006/relationships" r:id="rId2"/>
          <a:extLst>
            <a:ext uri="{FF2B5EF4-FFF2-40B4-BE49-F238E27FC236}">
              <a16:creationId xmlns:a16="http://schemas.microsoft.com/office/drawing/2014/main" id="{0BCDAD4B-BBF6-454D-8431-2FE206CB2FDF}"/>
            </a:ext>
          </a:extLst>
        </xdr:cNvPr>
        <xdr:cNvPicPr>
          <a:picLocks noChangeAspect="1"/>
        </xdr:cNvPicPr>
      </xdr:nvPicPr>
      <xdr:blipFill>
        <a:blip xmlns:r="http://schemas.openxmlformats.org/officeDocument/2006/relationships" r:embed="rId3"/>
        <a:stretch>
          <a:fillRect/>
        </a:stretch>
      </xdr:blipFill>
      <xdr:spPr>
        <a:xfrm>
          <a:off x="6756400" y="215900"/>
          <a:ext cx="482600" cy="482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25400</xdr:colOff>
      <xdr:row>0</xdr:row>
      <xdr:rowOff>6350</xdr:rowOff>
    </xdr:from>
    <xdr:to>
      <xdr:col>14</xdr:col>
      <xdr:colOff>508000</xdr:colOff>
      <xdr:row>20</xdr:row>
      <xdr:rowOff>95250</xdr:rowOff>
    </xdr:to>
    <xdr:graphicFrame macro="">
      <xdr:nvGraphicFramePr>
        <xdr:cNvPr id="4" name="Chart 3">
          <a:extLst>
            <a:ext uri="{FF2B5EF4-FFF2-40B4-BE49-F238E27FC236}">
              <a16:creationId xmlns:a16="http://schemas.microsoft.com/office/drawing/2014/main" id="{3E1D2D40-AF07-4F26-AB11-9D83A2C55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95250</xdr:colOff>
      <xdr:row>0</xdr:row>
      <xdr:rowOff>107950</xdr:rowOff>
    </xdr:from>
    <xdr:to>
      <xdr:col>16</xdr:col>
      <xdr:colOff>63500</xdr:colOff>
      <xdr:row>3</xdr:row>
      <xdr:rowOff>133350</xdr:rowOff>
    </xdr:to>
    <xdr:pic>
      <xdr:nvPicPr>
        <xdr:cNvPr id="7" name="Picture 6" descr="Home ">
          <a:hlinkClick xmlns:r="http://schemas.openxmlformats.org/officeDocument/2006/relationships" r:id="rId2"/>
          <a:extLst>
            <a:ext uri="{FF2B5EF4-FFF2-40B4-BE49-F238E27FC236}">
              <a16:creationId xmlns:a16="http://schemas.microsoft.com/office/drawing/2014/main" id="{30725972-66F9-4199-9672-B4A04359134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239250" y="107950"/>
          <a:ext cx="577850" cy="57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370631712962" backgroundQuery="1" createdVersion="7" refreshedVersion="7" minRefreshableVersion="3" recordCount="0" supportSubquery="1" supportAdvancedDrill="1" xr:uid="{5C203990-21FD-488B-9B37-233BF733E3CE}">
  <cacheSource type="external" connectionId="1"/>
  <cacheFields count="5">
    <cacheField name="[Measures].[Sum of Wins]" caption="Sum of Wins" numFmtId="0" hierarchy="41" level="32767"/>
    <cacheField name="[Table4].[Winner].[Winner]" caption="Winner" numFmtId="0" hierarchy="29" level="1">
      <sharedItems count="10">
        <s v="CSK"/>
        <s v="DC"/>
        <s v="GT"/>
        <s v="KKR"/>
        <s v="LSG"/>
        <s v="MI"/>
        <s v="PBKS"/>
        <s v="RCB"/>
        <s v="RR"/>
        <s v="SRH"/>
      </sharedItems>
    </cacheField>
    <cacheField name="[Table1].[Venue].[Venue]" caption="Venue" numFmtId="0" hierarchy="3" level="1">
      <sharedItems containsSemiMixedTypes="0" containsNonDate="0" containsString="0"/>
    </cacheField>
    <cacheField name="[Table2].[Team].[Team]" caption="Team" numFmtId="0" hierarchy="14" level="1">
      <sharedItems containsSemiMixedTypes="0" containsNonDate="0" containsString="0"/>
    </cacheField>
    <cacheField name="[Table1].[Season].[Season]" caption="Season" numFmtId="0" hierarchy="1" level="1">
      <sharedItems containsSemiMixedTypes="0" containsNonDate="0" containsString="0"/>
    </cacheField>
  </cacheFields>
  <cacheHierarchies count="59">
    <cacheHierarchy uniqueName="[Table1].[Match_ID]" caption="Match_ID" attribute="1" defaultMemberUniqueName="[Table1].[Match_ID].[All]" allUniqueName="[Table1].[Match_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4"/>
      </fieldsUsage>
    </cacheHierarchy>
    <cacheHierarchy uniqueName="[Table1].[Date]" caption="Date" attribute="1" defaultMemberUniqueName="[Table1].[Date].[All]" allUniqueName="[Table1].[Date].[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2"/>
      </fieldsUsage>
    </cacheHierarchy>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Result_Margin]" caption="Result_Margin" attribute="1" defaultMemberUniqueName="[Table1].[Result_Margin].[All]" allUniqueName="[Table1].[Result_Margin].[All]" dimensionUniqueName="[Table1]" displayFolder="" count="0" memberValueDatatype="20" unbalanced="0"/>
    <cacheHierarchy uniqueName="[Table2].[Match_ID]" caption="Match_ID" attribute="1" defaultMemberUniqueName="[Table2].[Match_ID].[All]" allUniqueName="[Table2].[Match_ID].[All]" dimensionUniqueName="[Table2]" displayFolder="" count="0" memberValueDatatype="20" unbalanced="0"/>
    <cacheHierarchy uniqueName="[Table2].[Season]" caption="Season" attribute="1" defaultMemberUniqueName="[Table2].[Season].[All]" allUniqueName="[Table2].[Season].[All]" dimensionUniqueName="[Table2]" displayFolder="" count="0" memberValueDatatype="20" unbalanced="0"/>
    <cacheHierarchy uniqueName="[Table2].[Team]" caption="Team" attribute="1" defaultMemberUniqueName="[Table2].[Team].[All]" allUniqueName="[Table2].[Team].[All]" dimensionUniqueName="[Table2]" displayFolder="" count="2" memberValueDatatype="130" unbalanced="0">
      <fieldsUsage count="2">
        <fieldUsage x="-1"/>
        <fieldUsage x="3"/>
      </fieldsUsage>
    </cacheHierarchy>
    <cacheHierarchy uniqueName="[Table2].[Player]" caption="Player" attribute="1" defaultMemberUniqueName="[Table2].[Player].[All]" allUniqueName="[Table2].[Player].[All]" dimensionUniqueName="[Table2]" displayFolder="" count="0" memberValueDatatype="130" unbalanced="0"/>
    <cacheHierarchy uniqueName="[Table2].[Runs]" caption="Runs" attribute="1" defaultMemberUniqueName="[Table2].[Runs].[All]" allUniqueName="[Table2].[Runs].[All]" dimensionUniqueName="[Table2]" displayFolder="" count="0" memberValueDatatype="20" unbalanced="0"/>
    <cacheHierarchy uniqueName="[Table2].[Balls]" caption="Balls" attribute="1" defaultMemberUniqueName="[Table2].[Balls].[All]" allUniqueName="[Table2].[Balls].[All]" dimensionUniqueName="[Table2]" displayFolder="" count="0" memberValueDatatype="20" unbalanced="0"/>
    <cacheHierarchy uniqueName="[Table2].[4s]" caption="4s" attribute="1" defaultMemberUniqueName="[Table2].[4s].[All]" allUniqueName="[Table2].[4s].[All]" dimensionUniqueName="[Table2]" displayFolder="" count="0" memberValueDatatype="20" unbalanced="0"/>
    <cacheHierarchy uniqueName="[Table2].[6s]" caption="6s" attribute="1" defaultMemberUniqueName="[Table2].[6s].[All]" allUniqueName="[Table2].[6s].[All]" dimensionUniqueName="[Table2]" displayFolder="" count="0" memberValueDatatype="20" unbalanced="0"/>
    <cacheHierarchy uniqueName="[Table2].[Strike_Rate]" caption="Strike_Rate" attribute="1" defaultMemberUniqueName="[Table2].[Strike_Rate].[All]" allUniqueName="[Table2].[Strike_Rate].[All]" dimensionUniqueName="[Table2]" displayFolder="" count="0" memberValueDatatype="5" unbalanced="0"/>
    <cacheHierarchy uniqueName="[Table3].[Match_ID]" caption="Match_ID" attribute="1" defaultMemberUniqueName="[Table3].[Match_ID].[All]" allUniqueName="[Table3].[Match_ID].[All]" dimensionUniqueName="[Table3]" displayFolder="" count="0" memberValueDatatype="20" unbalanced="0"/>
    <cacheHierarchy uniqueName="[Table3].[Season]" caption="Season" attribute="1" defaultMemberUniqueName="[Table3].[Season].[All]" allUniqueName="[Table3].[Season].[All]" dimensionUniqueName="[Table3]" displayFolder="" count="0" memberValueDatatype="20" unbalanced="0"/>
    <cacheHierarchy uniqueName="[Table3].[Team]" caption="Team" attribute="1" defaultMemberUniqueName="[Table3].[Team].[All]" allUniqueName="[Table3].[Team].[All]" dimensionUniqueName="[Table3]" displayFolder="" count="0" memberValueDatatype="130" unbalanced="0"/>
    <cacheHierarchy uniqueName="[Table3].[Bowler]" caption="Bowler" attribute="1" defaultMemberUniqueName="[Table3].[Bowler].[All]" allUniqueName="[Table3].[Bowler].[All]" dimensionUniqueName="[Table3]" displayFolder="" count="0" memberValueDatatype="130" unbalanced="0"/>
    <cacheHierarchy uniqueName="[Table3].[Overs]" caption="Overs" attribute="1" defaultMemberUniqueName="[Table3].[Overs].[All]" allUniqueName="[Table3].[Overs].[All]" dimensionUniqueName="[Table3]" displayFolder="" count="0" memberValueDatatype="20" unbalanced="0"/>
    <cacheHierarchy uniqueName="[Table3].[Runs_Conceded]" caption="Runs_Conceded" attribute="1" defaultMemberUniqueName="[Table3].[Runs_Conceded].[All]" allUniqueName="[Table3].[Runs_Conceded].[All]" dimensionUniqueName="[Table3]" displayFolder="" count="0" memberValueDatatype="20" unbalanced="0"/>
    <cacheHierarchy uniqueName="[Table3].[Wickets]" caption="Wickets" attribute="1" defaultMemberUniqueName="[Table3].[Wickets].[All]" allUniqueName="[Table3].[Wickets].[All]" dimensionUniqueName="[Table3]" displayFolder="" count="0" memberValueDatatype="20" unbalanced="0"/>
    <cacheHierarchy uniqueName="[Table3].[Economy]" caption="Economy" attribute="1" defaultMemberUniqueName="[Table3].[Economy].[All]" allUniqueName="[Table3].[Economy].[All]" dimensionUniqueName="[Table3]" displayFolder="" count="0" memberValueDatatype="5" unbalanced="0"/>
    <cacheHierarchy uniqueName="[Table4].[Winner]" caption="Winner" attribute="1" defaultMemberUniqueName="[Table4].[Winner].[All]" allUniqueName="[Table4].[Winner].[All]" dimensionUniqueName="[Table4]" displayFolder="" count="2" memberValueDatatype="130" unbalanced="0">
      <fieldsUsage count="2">
        <fieldUsage x="-1"/>
        <fieldUsage x="1"/>
      </fieldsUsage>
    </cacheHierarchy>
    <cacheHierarchy uniqueName="[Table4].[Wins]" caption="Wins" attribute="1" defaultMemberUniqueName="[Table4].[Wins].[All]" allUniqueName="[Table4].[Wins].[All]" dimensionUniqueName="[Table4]" displayFolder="" count="0" memberValueDatatype="2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uns]" caption="Sum of Runs" measure="1" displayFolder="" measureGroup="Table2" count="0" hidden="1">
      <extLst>
        <ext xmlns:x15="http://schemas.microsoft.com/office/spreadsheetml/2010/11/main" uri="{B97F6D7D-B522-45F9-BDA1-12C45D357490}">
          <x15:cacheHierarchy aggregatedColumn="16"/>
        </ext>
      </extLst>
    </cacheHierarchy>
    <cacheHierarchy uniqueName="[Measures].[Count of Runs]" caption="Count of Runs" measure="1" displayFolder="" measureGroup="Table2" count="0" hidden="1">
      <extLst>
        <ext xmlns:x15="http://schemas.microsoft.com/office/spreadsheetml/2010/11/main" uri="{B97F6D7D-B522-45F9-BDA1-12C45D357490}">
          <x15:cacheHierarchy aggregatedColumn="16"/>
        </ext>
      </extLst>
    </cacheHierarchy>
    <cacheHierarchy uniqueName="[Measures].[Sum of 4s]" caption="Sum of 4s" measure="1" displayFolder="" measureGroup="Table2" count="0" hidden="1">
      <extLst>
        <ext xmlns:x15="http://schemas.microsoft.com/office/spreadsheetml/2010/11/main" uri="{B97F6D7D-B522-45F9-BDA1-12C45D357490}">
          <x15:cacheHierarchy aggregatedColumn="18"/>
        </ext>
      </extLst>
    </cacheHierarchy>
    <cacheHierarchy uniqueName="[Measures].[Sum of 6s]" caption="Sum of 6s" measure="1" displayFolder="" measureGroup="Table2" count="0" hidden="1">
      <extLst>
        <ext xmlns:x15="http://schemas.microsoft.com/office/spreadsheetml/2010/11/main" uri="{B97F6D7D-B522-45F9-BDA1-12C45D357490}">
          <x15:cacheHierarchy aggregatedColumn="19"/>
        </ext>
      </extLst>
    </cacheHierarchy>
    <cacheHierarchy uniqueName="[Measures].[Sum of Wickets]" caption="Sum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Wins]" caption="Sum of Wins" measure="1" displayFolder="" measureGroup="Table4"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0"/>
        </ext>
      </extLst>
    </cacheHierarchy>
    <cacheHierarchy uniqueName="[Measures].[StdDev of Wins]" caption="StdDev of Wins" measure="1" displayFolder="" measureGroup="Table4" count="0" hidden="1">
      <extLst>
        <ext xmlns:x15="http://schemas.microsoft.com/office/spreadsheetml/2010/11/main" uri="{B97F6D7D-B522-45F9-BDA1-12C45D357490}">
          <x15:cacheHierarchy aggregatedColumn="30"/>
        </ext>
      </extLst>
    </cacheHierarchy>
    <cacheHierarchy uniqueName="[Measures].[Sum of Match_ID]" caption="Sum of Match_ID" measure="1" displayFolder="" measureGroup="Table1" count="0" hidden="1">
      <extLst>
        <ext xmlns:x15="http://schemas.microsoft.com/office/spreadsheetml/2010/11/main" uri="{B97F6D7D-B522-45F9-BDA1-12C45D357490}">
          <x15:cacheHierarchy aggregatedColumn="0"/>
        </ext>
      </extLst>
    </cacheHierarchy>
    <cacheHierarchy uniqueName="[Measures].[Average of Match_ID]" caption="Average of Match_ID" measure="1" displayFolder="" measureGroup="Table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Table1" count="0" hidden="1">
      <extLst>
        <ext xmlns:x15="http://schemas.microsoft.com/office/spreadsheetml/2010/11/main" uri="{B97F6D7D-B522-45F9-BDA1-12C45D357490}">
          <x15:cacheHierarchy aggregatedColumn="0"/>
        </ext>
      </extLst>
    </cacheHierarchy>
    <cacheHierarchy uniqueName="[Measures].[Sum of Match_ID 2]" caption="Sum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Match_ID 2]" caption="Count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Wickets]" caption="Count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Table2" count="0" hidden="1">
      <extLst>
        <ext xmlns:x15="http://schemas.microsoft.com/office/spreadsheetml/2010/11/main" uri="{B97F6D7D-B522-45F9-BDA1-12C45D357490}">
          <x15:cacheHierarchy aggregatedColumn="14"/>
        </ext>
      </extLst>
    </cacheHierarchy>
    <cacheHierarchy uniqueName="[Measures].[Sum of Team]" caption="Sum of Team" measure="1" displayFolder="" measureGroup="Table2" count="0" hidden="1">
      <extLst>
        <ext xmlns:x15="http://schemas.microsoft.com/office/spreadsheetml/2010/11/main" uri="{B97F6D7D-B522-45F9-BDA1-12C45D357490}">
          <x15:cacheHierarchy aggregatedColumn="14"/>
        </ext>
      </extLst>
    </cacheHierarchy>
    <cacheHierarchy uniqueName="[Measures].[Average of Team]" caption="Average of Team" measure="1" displayFolder="" measureGroup="Table2" count="0" hidden="1">
      <extLst>
        <ext xmlns:x15="http://schemas.microsoft.com/office/spreadsheetml/2010/11/main" uri="{B97F6D7D-B522-45F9-BDA1-12C45D357490}">
          <x15:cacheHierarchy aggregatedColumn="14"/>
        </ext>
      </extLst>
    </cacheHierarchy>
    <cacheHierarchy uniqueName="[Measures].[Count of Team1]" caption="Count of Team1" measure="1" displayFolder="" measureGroup="Table1" count="0" hidden="1">
      <extLst>
        <ext xmlns:x15="http://schemas.microsoft.com/office/spreadsheetml/2010/11/main" uri="{B97F6D7D-B522-45F9-BDA1-12C45D357490}">
          <x15:cacheHierarchy aggregatedColumn="4"/>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9"/>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3"/>
        </ext>
      </extLst>
    </cacheHierarchy>
    <cacheHierarchy uniqueName="[Measures].[Count of Player]" caption="Count of Player" measure="1" displayFolder="" measureGroup="Table2" count="0" hidden="1">
      <extLst>
        <ext xmlns:x15="http://schemas.microsoft.com/office/spreadsheetml/2010/11/main" uri="{B97F6D7D-B522-45F9-BDA1-12C45D357490}">
          <x15:cacheHierarchy aggregatedColumn="15"/>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37063287037" backgroundQuery="1" createdVersion="7" refreshedVersion="7" minRefreshableVersion="3" recordCount="0" supportSubquery="1" supportAdvancedDrill="1" xr:uid="{B77EA66B-6FCC-4534-8030-C8D6A7EA2870}">
  <cacheSource type="external" connectionId="1"/>
  <cacheFields count="5">
    <cacheField name="[Measures].[Count of Runs]" caption="Count of Runs" numFmtId="0" hierarchy="37" level="32767"/>
    <cacheField name="[Table2].[Player].[Player]" caption="Player" numFmtId="0" hierarchy="15" level="1">
      <sharedItems count="10">
        <s v="Andre Russell"/>
        <s v="David Warner"/>
        <s v="Faf du Plessis"/>
        <s v="KL Rahul"/>
        <s v="Rishabh Pant"/>
        <s v="Ruturaj Gaikwad"/>
        <s v="Shubman Gill"/>
        <s v="Suryakumar Yadav"/>
        <s v="Travis Head"/>
        <s v="Virat Kohli"/>
      </sharedItems>
    </cacheField>
    <cacheField name="[Table1].[Venue].[Venue]" caption="Venue" numFmtId="0" hierarchy="3" level="1">
      <sharedItems containsSemiMixedTypes="0" containsNonDate="0" containsString="0"/>
    </cacheField>
    <cacheField name="[Table2].[Team].[Team]" caption="Team" numFmtId="0" hierarchy="14" level="1">
      <sharedItems containsSemiMixedTypes="0" containsNonDate="0" containsString="0"/>
    </cacheField>
    <cacheField name="[Table1].[Season].[Season]" caption="Season" numFmtId="0" hierarchy="1" level="1">
      <sharedItems containsSemiMixedTypes="0" containsNonDate="0" containsString="0"/>
    </cacheField>
  </cacheFields>
  <cacheHierarchies count="59">
    <cacheHierarchy uniqueName="[Table1].[Match_ID]" caption="Match_ID" attribute="1" defaultMemberUniqueName="[Table1].[Match_ID].[All]" allUniqueName="[Table1].[Match_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4"/>
      </fieldsUsage>
    </cacheHierarchy>
    <cacheHierarchy uniqueName="[Table1].[Date]" caption="Date" attribute="1" defaultMemberUniqueName="[Table1].[Date].[All]" allUniqueName="[Table1].[Date].[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2"/>
      </fieldsUsage>
    </cacheHierarchy>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Result_Margin]" caption="Result_Margin" attribute="1" defaultMemberUniqueName="[Table1].[Result_Margin].[All]" allUniqueName="[Table1].[Result_Margin].[All]" dimensionUniqueName="[Table1]" displayFolder="" count="0" memberValueDatatype="20" unbalanced="0"/>
    <cacheHierarchy uniqueName="[Table2].[Match_ID]" caption="Match_ID" attribute="1" defaultMemberUniqueName="[Table2].[Match_ID].[All]" allUniqueName="[Table2].[Match_ID].[All]" dimensionUniqueName="[Table2]" displayFolder="" count="0" memberValueDatatype="20" unbalanced="0"/>
    <cacheHierarchy uniqueName="[Table2].[Season]" caption="Season" attribute="1" defaultMemberUniqueName="[Table2].[Season].[All]" allUniqueName="[Table2].[Season].[All]" dimensionUniqueName="[Table2]" displayFolder="" count="0" memberValueDatatype="20" unbalanced="0"/>
    <cacheHierarchy uniqueName="[Table2].[Team]" caption="Team" attribute="1" defaultMemberUniqueName="[Table2].[Team].[All]" allUniqueName="[Table2].[Team].[All]" dimensionUniqueName="[Table2]" displayFolder="" count="2" memberValueDatatype="130" unbalanced="0">
      <fieldsUsage count="2">
        <fieldUsage x="-1"/>
        <fieldUsage x="3"/>
      </fieldsUsage>
    </cacheHierarchy>
    <cacheHierarchy uniqueName="[Table2].[Player]" caption="Player" attribute="1" defaultMemberUniqueName="[Table2].[Player].[All]" allUniqueName="[Table2].[Player].[All]" dimensionUniqueName="[Table2]" displayFolder="" count="2" memberValueDatatype="130" unbalanced="0">
      <fieldsUsage count="2">
        <fieldUsage x="-1"/>
        <fieldUsage x="1"/>
      </fieldsUsage>
    </cacheHierarchy>
    <cacheHierarchy uniqueName="[Table2].[Runs]" caption="Runs" attribute="1" defaultMemberUniqueName="[Table2].[Runs].[All]" allUniqueName="[Table2].[Runs].[All]" dimensionUniqueName="[Table2]" displayFolder="" count="0" memberValueDatatype="20" unbalanced="0"/>
    <cacheHierarchy uniqueName="[Table2].[Balls]" caption="Balls" attribute="1" defaultMemberUniqueName="[Table2].[Balls].[All]" allUniqueName="[Table2].[Balls].[All]" dimensionUniqueName="[Table2]" displayFolder="" count="0" memberValueDatatype="20" unbalanced="0"/>
    <cacheHierarchy uniqueName="[Table2].[4s]" caption="4s" attribute="1" defaultMemberUniqueName="[Table2].[4s].[All]" allUniqueName="[Table2].[4s].[All]" dimensionUniqueName="[Table2]" displayFolder="" count="0" memberValueDatatype="20" unbalanced="0"/>
    <cacheHierarchy uniqueName="[Table2].[6s]" caption="6s" attribute="1" defaultMemberUniqueName="[Table2].[6s].[All]" allUniqueName="[Table2].[6s].[All]" dimensionUniqueName="[Table2]" displayFolder="" count="0" memberValueDatatype="20" unbalanced="0"/>
    <cacheHierarchy uniqueName="[Table2].[Strike_Rate]" caption="Strike_Rate" attribute="1" defaultMemberUniqueName="[Table2].[Strike_Rate].[All]" allUniqueName="[Table2].[Strike_Rate].[All]" dimensionUniqueName="[Table2]" displayFolder="" count="0" memberValueDatatype="5" unbalanced="0"/>
    <cacheHierarchy uniqueName="[Table3].[Match_ID]" caption="Match_ID" attribute="1" defaultMemberUniqueName="[Table3].[Match_ID].[All]" allUniqueName="[Table3].[Match_ID].[All]" dimensionUniqueName="[Table3]" displayFolder="" count="0" memberValueDatatype="20" unbalanced="0"/>
    <cacheHierarchy uniqueName="[Table3].[Season]" caption="Season" attribute="1" defaultMemberUniqueName="[Table3].[Season].[All]" allUniqueName="[Table3].[Season].[All]" dimensionUniqueName="[Table3]" displayFolder="" count="0" memberValueDatatype="20" unbalanced="0"/>
    <cacheHierarchy uniqueName="[Table3].[Team]" caption="Team" attribute="1" defaultMemberUniqueName="[Table3].[Team].[All]" allUniqueName="[Table3].[Team].[All]" dimensionUniqueName="[Table3]" displayFolder="" count="0" memberValueDatatype="130" unbalanced="0"/>
    <cacheHierarchy uniqueName="[Table3].[Bowler]" caption="Bowler" attribute="1" defaultMemberUniqueName="[Table3].[Bowler].[All]" allUniqueName="[Table3].[Bowler].[All]" dimensionUniqueName="[Table3]" displayFolder="" count="0" memberValueDatatype="130" unbalanced="0"/>
    <cacheHierarchy uniqueName="[Table3].[Overs]" caption="Overs" attribute="1" defaultMemberUniqueName="[Table3].[Overs].[All]" allUniqueName="[Table3].[Overs].[All]" dimensionUniqueName="[Table3]" displayFolder="" count="0" memberValueDatatype="20" unbalanced="0"/>
    <cacheHierarchy uniqueName="[Table3].[Runs_Conceded]" caption="Runs_Conceded" attribute="1" defaultMemberUniqueName="[Table3].[Runs_Conceded].[All]" allUniqueName="[Table3].[Runs_Conceded].[All]" dimensionUniqueName="[Table3]" displayFolder="" count="0" memberValueDatatype="20" unbalanced="0"/>
    <cacheHierarchy uniqueName="[Table3].[Wickets]" caption="Wickets" attribute="1" defaultMemberUniqueName="[Table3].[Wickets].[All]" allUniqueName="[Table3].[Wickets].[All]" dimensionUniqueName="[Table3]" displayFolder="" count="0" memberValueDatatype="20" unbalanced="0"/>
    <cacheHierarchy uniqueName="[Table3].[Economy]" caption="Economy" attribute="1" defaultMemberUniqueName="[Table3].[Economy].[All]" allUniqueName="[Table3].[Economy].[All]" dimensionUniqueName="[Table3]" displayFolder="" count="0" memberValueDatatype="5" unbalanced="0"/>
    <cacheHierarchy uniqueName="[Table4].[Winner]" caption="Winner" attribute="1" defaultMemberUniqueName="[Table4].[Winner].[All]" allUniqueName="[Table4].[Winner].[All]" dimensionUniqueName="[Table4]" displayFolder="" count="0" memberValueDatatype="130" unbalanced="0"/>
    <cacheHierarchy uniqueName="[Table4].[Wins]" caption="Wins" attribute="1" defaultMemberUniqueName="[Table4].[Wins].[All]" allUniqueName="[Table4].[Wins].[All]" dimensionUniqueName="[Table4]" displayFolder="" count="0" memberValueDatatype="2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uns]" caption="Sum of Runs" measure="1" displayFolder="" measureGroup="Table2" count="0" hidden="1">
      <extLst>
        <ext xmlns:x15="http://schemas.microsoft.com/office/spreadsheetml/2010/11/main" uri="{B97F6D7D-B522-45F9-BDA1-12C45D357490}">
          <x15:cacheHierarchy aggregatedColumn="16"/>
        </ext>
      </extLst>
    </cacheHierarchy>
    <cacheHierarchy uniqueName="[Measures].[Count of Runs]" caption="Count of Runs" measure="1" displayFolder="" measureGroup="Table2"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4s]" caption="Sum of 4s" measure="1" displayFolder="" measureGroup="Table2" count="0" hidden="1">
      <extLst>
        <ext xmlns:x15="http://schemas.microsoft.com/office/spreadsheetml/2010/11/main" uri="{B97F6D7D-B522-45F9-BDA1-12C45D357490}">
          <x15:cacheHierarchy aggregatedColumn="18"/>
        </ext>
      </extLst>
    </cacheHierarchy>
    <cacheHierarchy uniqueName="[Measures].[Sum of 6s]" caption="Sum of 6s" measure="1" displayFolder="" measureGroup="Table2" count="0" hidden="1">
      <extLst>
        <ext xmlns:x15="http://schemas.microsoft.com/office/spreadsheetml/2010/11/main" uri="{B97F6D7D-B522-45F9-BDA1-12C45D357490}">
          <x15:cacheHierarchy aggregatedColumn="19"/>
        </ext>
      </extLst>
    </cacheHierarchy>
    <cacheHierarchy uniqueName="[Measures].[Sum of Wickets]" caption="Sum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Wins]" caption="Sum of Wins" measure="1" displayFolder="" measureGroup="Table4" count="0" hidden="1">
      <extLst>
        <ext xmlns:x15="http://schemas.microsoft.com/office/spreadsheetml/2010/11/main" uri="{B97F6D7D-B522-45F9-BDA1-12C45D357490}">
          <x15:cacheHierarchy aggregatedColumn="30"/>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0"/>
        </ext>
      </extLst>
    </cacheHierarchy>
    <cacheHierarchy uniqueName="[Measures].[StdDev of Wins]" caption="StdDev of Wins" measure="1" displayFolder="" measureGroup="Table4" count="0" hidden="1">
      <extLst>
        <ext xmlns:x15="http://schemas.microsoft.com/office/spreadsheetml/2010/11/main" uri="{B97F6D7D-B522-45F9-BDA1-12C45D357490}">
          <x15:cacheHierarchy aggregatedColumn="30"/>
        </ext>
      </extLst>
    </cacheHierarchy>
    <cacheHierarchy uniqueName="[Measures].[Sum of Match_ID]" caption="Sum of Match_ID" measure="1" displayFolder="" measureGroup="Table1" count="0" hidden="1">
      <extLst>
        <ext xmlns:x15="http://schemas.microsoft.com/office/spreadsheetml/2010/11/main" uri="{B97F6D7D-B522-45F9-BDA1-12C45D357490}">
          <x15:cacheHierarchy aggregatedColumn="0"/>
        </ext>
      </extLst>
    </cacheHierarchy>
    <cacheHierarchy uniqueName="[Measures].[Average of Match_ID]" caption="Average of Match_ID" measure="1" displayFolder="" measureGroup="Table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Table1" count="0" hidden="1">
      <extLst>
        <ext xmlns:x15="http://schemas.microsoft.com/office/spreadsheetml/2010/11/main" uri="{B97F6D7D-B522-45F9-BDA1-12C45D357490}">
          <x15:cacheHierarchy aggregatedColumn="0"/>
        </ext>
      </extLst>
    </cacheHierarchy>
    <cacheHierarchy uniqueName="[Measures].[Sum of Match_ID 2]" caption="Sum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Match_ID 2]" caption="Count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Wickets]" caption="Count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Table2" count="0" hidden="1">
      <extLst>
        <ext xmlns:x15="http://schemas.microsoft.com/office/spreadsheetml/2010/11/main" uri="{B97F6D7D-B522-45F9-BDA1-12C45D357490}">
          <x15:cacheHierarchy aggregatedColumn="14"/>
        </ext>
      </extLst>
    </cacheHierarchy>
    <cacheHierarchy uniqueName="[Measures].[Sum of Team]" caption="Sum of Team" measure="1" displayFolder="" measureGroup="Table2" count="0" hidden="1">
      <extLst>
        <ext xmlns:x15="http://schemas.microsoft.com/office/spreadsheetml/2010/11/main" uri="{B97F6D7D-B522-45F9-BDA1-12C45D357490}">
          <x15:cacheHierarchy aggregatedColumn="14"/>
        </ext>
      </extLst>
    </cacheHierarchy>
    <cacheHierarchy uniqueName="[Measures].[Average of Team]" caption="Average of Team" measure="1" displayFolder="" measureGroup="Table2" count="0" hidden="1">
      <extLst>
        <ext xmlns:x15="http://schemas.microsoft.com/office/spreadsheetml/2010/11/main" uri="{B97F6D7D-B522-45F9-BDA1-12C45D357490}">
          <x15:cacheHierarchy aggregatedColumn="14"/>
        </ext>
      </extLst>
    </cacheHierarchy>
    <cacheHierarchy uniqueName="[Measures].[Count of Team1]" caption="Count of Team1" measure="1" displayFolder="" measureGroup="Table1" count="0" hidden="1">
      <extLst>
        <ext xmlns:x15="http://schemas.microsoft.com/office/spreadsheetml/2010/11/main" uri="{B97F6D7D-B522-45F9-BDA1-12C45D357490}">
          <x15:cacheHierarchy aggregatedColumn="4"/>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9"/>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3"/>
        </ext>
      </extLst>
    </cacheHierarchy>
    <cacheHierarchy uniqueName="[Measures].[Count of Player]" caption="Count of Player" measure="1" displayFolder="" measureGroup="Table2" count="0" hidden="1">
      <extLst>
        <ext xmlns:x15="http://schemas.microsoft.com/office/spreadsheetml/2010/11/main" uri="{B97F6D7D-B522-45F9-BDA1-12C45D357490}">
          <x15:cacheHierarchy aggregatedColumn="15"/>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370633680555" backgroundQuery="1" createdVersion="7" refreshedVersion="7" minRefreshableVersion="3" recordCount="0" supportSubquery="1" supportAdvancedDrill="1" xr:uid="{370E0C8A-4E7A-40D8-A263-DF387D2A09C3}">
  <cacheSource type="external" connectionId="1"/>
  <cacheFields count="6">
    <cacheField name="[Table2].[Player].[Player]" caption="Player" numFmtId="0" hierarchy="15" level="1">
      <sharedItems count="10">
        <s v="Abhishek Sharma"/>
        <s v="Andre Russell"/>
        <s v="KL Rahul"/>
        <s v="Rohit Sharma"/>
        <s v="Ruturaj Gaikwad"/>
        <s v="Shubman Gill"/>
        <s v="Sunil Narine"/>
        <s v="Suryakumar Yadav"/>
        <s v="Travis Head"/>
        <s v="Virat Kohli"/>
      </sharedItems>
    </cacheField>
    <cacheField name="[Table3].[Bowler].[Bowler]" caption="Bowler" numFmtId="0" hierarchy="24" level="1">
      <sharedItems count="10">
        <s v="Matheesha Pathirana"/>
        <s v="Mohammed Shami"/>
        <s v="Mohammed Siraj"/>
        <s v="Pat Cummins"/>
        <s v="Rashid Khan"/>
        <s v="Ravindra Jadeja"/>
        <s v="Sunil Narine"/>
        <s v="T Natarajan"/>
        <s v="Varun Chakravarthy"/>
        <s v="Yuzvendra Chahal"/>
      </sharedItems>
    </cacheField>
    <cacheField name="[Measures].[Count of Wickets]" caption="Count of Wickets" numFmtId="0" hierarchy="49" level="32767"/>
    <cacheField name="[Table1].[Venue].[Venue]" caption="Venue" numFmtId="0" hierarchy="3" level="1">
      <sharedItems containsSemiMixedTypes="0" containsNonDate="0" containsString="0"/>
    </cacheField>
    <cacheField name="[Table2].[Team].[Team]" caption="Team" numFmtId="0" hierarchy="14" level="1">
      <sharedItems containsSemiMixedTypes="0" containsNonDate="0" containsString="0"/>
    </cacheField>
    <cacheField name="[Table1].[Season].[Season]" caption="Season" numFmtId="0" hierarchy="1" level="1">
      <sharedItems containsSemiMixedTypes="0" containsNonDate="0" containsString="0"/>
    </cacheField>
  </cacheFields>
  <cacheHierarchies count="59">
    <cacheHierarchy uniqueName="[Table1].[Match_ID]" caption="Match_ID" attribute="1" defaultMemberUniqueName="[Table1].[Match_ID].[All]" allUniqueName="[Table1].[Match_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5"/>
      </fieldsUsage>
    </cacheHierarchy>
    <cacheHierarchy uniqueName="[Table1].[Date]" caption="Date" attribute="1" defaultMemberUniqueName="[Table1].[Date].[All]" allUniqueName="[Table1].[Date].[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3"/>
      </fieldsUsage>
    </cacheHierarchy>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Result_Margin]" caption="Result_Margin" attribute="1" defaultMemberUniqueName="[Table1].[Result_Margin].[All]" allUniqueName="[Table1].[Result_Margin].[All]" dimensionUniqueName="[Table1]" displayFolder="" count="0" memberValueDatatype="20" unbalanced="0"/>
    <cacheHierarchy uniqueName="[Table2].[Match_ID]" caption="Match_ID" attribute="1" defaultMemberUniqueName="[Table2].[Match_ID].[All]" allUniqueName="[Table2].[Match_ID].[All]" dimensionUniqueName="[Table2]" displayFolder="" count="0" memberValueDatatype="20" unbalanced="0"/>
    <cacheHierarchy uniqueName="[Table2].[Season]" caption="Season" attribute="1" defaultMemberUniqueName="[Table2].[Season].[All]" allUniqueName="[Table2].[Season].[All]" dimensionUniqueName="[Table2]" displayFolder="" count="0" memberValueDatatype="20" unbalanced="0"/>
    <cacheHierarchy uniqueName="[Table2].[Team]" caption="Team" attribute="1" defaultMemberUniqueName="[Table2].[Team].[All]" allUniqueName="[Table2].[Team].[All]" dimensionUniqueName="[Table2]" displayFolder="" count="2" memberValueDatatype="130" unbalanced="0">
      <fieldsUsage count="2">
        <fieldUsage x="-1"/>
        <fieldUsage x="4"/>
      </fieldsUsage>
    </cacheHierarchy>
    <cacheHierarchy uniqueName="[Table2].[Player]" caption="Player" attribute="1" defaultMemberUniqueName="[Table2].[Player].[All]" allUniqueName="[Table2].[Player].[All]" dimensionUniqueName="[Table2]" displayFolder="" count="2" memberValueDatatype="130" unbalanced="0">
      <fieldsUsage count="2">
        <fieldUsage x="-1"/>
        <fieldUsage x="0"/>
      </fieldsUsage>
    </cacheHierarchy>
    <cacheHierarchy uniqueName="[Table2].[Runs]" caption="Runs" attribute="1" defaultMemberUniqueName="[Table2].[Runs].[All]" allUniqueName="[Table2].[Runs].[All]" dimensionUniqueName="[Table2]" displayFolder="" count="0" memberValueDatatype="20" unbalanced="0"/>
    <cacheHierarchy uniqueName="[Table2].[Balls]" caption="Balls" attribute="1" defaultMemberUniqueName="[Table2].[Balls].[All]" allUniqueName="[Table2].[Balls].[All]" dimensionUniqueName="[Table2]" displayFolder="" count="0" memberValueDatatype="20" unbalanced="0"/>
    <cacheHierarchy uniqueName="[Table2].[4s]" caption="4s" attribute="1" defaultMemberUniqueName="[Table2].[4s].[All]" allUniqueName="[Table2].[4s].[All]" dimensionUniqueName="[Table2]" displayFolder="" count="0" memberValueDatatype="20" unbalanced="0"/>
    <cacheHierarchy uniqueName="[Table2].[6s]" caption="6s" attribute="1" defaultMemberUniqueName="[Table2].[6s].[All]" allUniqueName="[Table2].[6s].[All]" dimensionUniqueName="[Table2]" displayFolder="" count="0" memberValueDatatype="20" unbalanced="0"/>
    <cacheHierarchy uniqueName="[Table2].[Strike_Rate]" caption="Strike_Rate" attribute="1" defaultMemberUniqueName="[Table2].[Strike_Rate].[All]" allUniqueName="[Table2].[Strike_Rate].[All]" dimensionUniqueName="[Table2]" displayFolder="" count="0" memberValueDatatype="5" unbalanced="0"/>
    <cacheHierarchy uniqueName="[Table3].[Match_ID]" caption="Match_ID" attribute="1" defaultMemberUniqueName="[Table3].[Match_ID].[All]" allUniqueName="[Table3].[Match_ID].[All]" dimensionUniqueName="[Table3]" displayFolder="" count="0" memberValueDatatype="20" unbalanced="0"/>
    <cacheHierarchy uniqueName="[Table3].[Season]" caption="Season" attribute="1" defaultMemberUniqueName="[Table3].[Season].[All]" allUniqueName="[Table3].[Season].[All]" dimensionUniqueName="[Table3]" displayFolder="" count="0" memberValueDatatype="20" unbalanced="0"/>
    <cacheHierarchy uniqueName="[Table3].[Team]" caption="Team" attribute="1" defaultMemberUniqueName="[Table3].[Team].[All]" allUniqueName="[Table3].[Team].[All]" dimensionUniqueName="[Table3]" displayFolder="" count="0" memberValueDatatype="130" unbalanced="0"/>
    <cacheHierarchy uniqueName="[Table3].[Bowler]" caption="Bowler" attribute="1" defaultMemberUniqueName="[Table3].[Bowler].[All]" allUniqueName="[Table3].[Bowler].[All]" dimensionUniqueName="[Table3]" displayFolder="" count="2" memberValueDatatype="130" unbalanced="0">
      <fieldsUsage count="2">
        <fieldUsage x="-1"/>
        <fieldUsage x="1"/>
      </fieldsUsage>
    </cacheHierarchy>
    <cacheHierarchy uniqueName="[Table3].[Overs]" caption="Overs" attribute="1" defaultMemberUniqueName="[Table3].[Overs].[All]" allUniqueName="[Table3].[Overs].[All]" dimensionUniqueName="[Table3]" displayFolder="" count="0" memberValueDatatype="20" unbalanced="0"/>
    <cacheHierarchy uniqueName="[Table3].[Runs_Conceded]" caption="Runs_Conceded" attribute="1" defaultMemberUniqueName="[Table3].[Runs_Conceded].[All]" allUniqueName="[Table3].[Runs_Conceded].[All]" dimensionUniqueName="[Table3]" displayFolder="" count="0" memberValueDatatype="20" unbalanced="0"/>
    <cacheHierarchy uniqueName="[Table3].[Wickets]" caption="Wickets" attribute="1" defaultMemberUniqueName="[Table3].[Wickets].[All]" allUniqueName="[Table3].[Wickets].[All]" dimensionUniqueName="[Table3]" displayFolder="" count="0" memberValueDatatype="20" unbalanced="0"/>
    <cacheHierarchy uniqueName="[Table3].[Economy]" caption="Economy" attribute="1" defaultMemberUniqueName="[Table3].[Economy].[All]" allUniqueName="[Table3].[Economy].[All]" dimensionUniqueName="[Table3]" displayFolder="" count="0" memberValueDatatype="5" unbalanced="0"/>
    <cacheHierarchy uniqueName="[Table4].[Winner]" caption="Winner" attribute="1" defaultMemberUniqueName="[Table4].[Winner].[All]" allUniqueName="[Table4].[Winner].[All]" dimensionUniqueName="[Table4]" displayFolder="" count="0" memberValueDatatype="130" unbalanced="0"/>
    <cacheHierarchy uniqueName="[Table4].[Wins]" caption="Wins" attribute="1" defaultMemberUniqueName="[Table4].[Wins].[All]" allUniqueName="[Table4].[Wins].[All]" dimensionUniqueName="[Table4]" displayFolder="" count="0" memberValueDatatype="2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uns]" caption="Sum of Runs" measure="1" displayFolder="" measureGroup="Table2" count="0" hidden="1">
      <extLst>
        <ext xmlns:x15="http://schemas.microsoft.com/office/spreadsheetml/2010/11/main" uri="{B97F6D7D-B522-45F9-BDA1-12C45D357490}">
          <x15:cacheHierarchy aggregatedColumn="16"/>
        </ext>
      </extLst>
    </cacheHierarchy>
    <cacheHierarchy uniqueName="[Measures].[Count of Runs]" caption="Count of Runs" measure="1" displayFolder="" measureGroup="Table2" count="0" hidden="1">
      <extLst>
        <ext xmlns:x15="http://schemas.microsoft.com/office/spreadsheetml/2010/11/main" uri="{B97F6D7D-B522-45F9-BDA1-12C45D357490}">
          <x15:cacheHierarchy aggregatedColumn="16"/>
        </ext>
      </extLst>
    </cacheHierarchy>
    <cacheHierarchy uniqueName="[Measures].[Sum of 4s]" caption="Sum of 4s" measure="1" displayFolder="" measureGroup="Table2" count="0" hidden="1">
      <extLst>
        <ext xmlns:x15="http://schemas.microsoft.com/office/spreadsheetml/2010/11/main" uri="{B97F6D7D-B522-45F9-BDA1-12C45D357490}">
          <x15:cacheHierarchy aggregatedColumn="18"/>
        </ext>
      </extLst>
    </cacheHierarchy>
    <cacheHierarchy uniqueName="[Measures].[Sum of 6s]" caption="Sum of 6s" measure="1" displayFolder="" measureGroup="Table2" count="0" hidden="1">
      <extLst>
        <ext xmlns:x15="http://schemas.microsoft.com/office/spreadsheetml/2010/11/main" uri="{B97F6D7D-B522-45F9-BDA1-12C45D357490}">
          <x15:cacheHierarchy aggregatedColumn="19"/>
        </ext>
      </extLst>
    </cacheHierarchy>
    <cacheHierarchy uniqueName="[Measures].[Sum of Wickets]" caption="Sum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Wins]" caption="Sum of Wins" measure="1" displayFolder="" measureGroup="Table4" count="0" hidden="1">
      <extLst>
        <ext xmlns:x15="http://schemas.microsoft.com/office/spreadsheetml/2010/11/main" uri="{B97F6D7D-B522-45F9-BDA1-12C45D357490}">
          <x15:cacheHierarchy aggregatedColumn="30"/>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0"/>
        </ext>
      </extLst>
    </cacheHierarchy>
    <cacheHierarchy uniqueName="[Measures].[StdDev of Wins]" caption="StdDev of Wins" measure="1" displayFolder="" measureGroup="Table4" count="0" hidden="1">
      <extLst>
        <ext xmlns:x15="http://schemas.microsoft.com/office/spreadsheetml/2010/11/main" uri="{B97F6D7D-B522-45F9-BDA1-12C45D357490}">
          <x15:cacheHierarchy aggregatedColumn="30"/>
        </ext>
      </extLst>
    </cacheHierarchy>
    <cacheHierarchy uniqueName="[Measures].[Sum of Match_ID]" caption="Sum of Match_ID" measure="1" displayFolder="" measureGroup="Table1" count="0" hidden="1">
      <extLst>
        <ext xmlns:x15="http://schemas.microsoft.com/office/spreadsheetml/2010/11/main" uri="{B97F6D7D-B522-45F9-BDA1-12C45D357490}">
          <x15:cacheHierarchy aggregatedColumn="0"/>
        </ext>
      </extLst>
    </cacheHierarchy>
    <cacheHierarchy uniqueName="[Measures].[Average of Match_ID]" caption="Average of Match_ID" measure="1" displayFolder="" measureGroup="Table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Table1" count="0" hidden="1">
      <extLst>
        <ext xmlns:x15="http://schemas.microsoft.com/office/spreadsheetml/2010/11/main" uri="{B97F6D7D-B522-45F9-BDA1-12C45D357490}">
          <x15:cacheHierarchy aggregatedColumn="0"/>
        </ext>
      </extLst>
    </cacheHierarchy>
    <cacheHierarchy uniqueName="[Measures].[Sum of Match_ID 2]" caption="Sum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Match_ID 2]" caption="Count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Wickets]" caption="Count of Wickets" measure="1" displayFolder="" measureGroup="Table3"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Table2" count="0" hidden="1">
      <extLst>
        <ext xmlns:x15="http://schemas.microsoft.com/office/spreadsheetml/2010/11/main" uri="{B97F6D7D-B522-45F9-BDA1-12C45D357490}">
          <x15:cacheHierarchy aggregatedColumn="14"/>
        </ext>
      </extLst>
    </cacheHierarchy>
    <cacheHierarchy uniqueName="[Measures].[Sum of Team]" caption="Sum of Team" measure="1" displayFolder="" measureGroup="Table2" count="0" hidden="1">
      <extLst>
        <ext xmlns:x15="http://schemas.microsoft.com/office/spreadsheetml/2010/11/main" uri="{B97F6D7D-B522-45F9-BDA1-12C45D357490}">
          <x15:cacheHierarchy aggregatedColumn="14"/>
        </ext>
      </extLst>
    </cacheHierarchy>
    <cacheHierarchy uniqueName="[Measures].[Average of Team]" caption="Average of Team" measure="1" displayFolder="" measureGroup="Table2" count="0" hidden="1">
      <extLst>
        <ext xmlns:x15="http://schemas.microsoft.com/office/spreadsheetml/2010/11/main" uri="{B97F6D7D-B522-45F9-BDA1-12C45D357490}">
          <x15:cacheHierarchy aggregatedColumn="14"/>
        </ext>
      </extLst>
    </cacheHierarchy>
    <cacheHierarchy uniqueName="[Measures].[Count of Team1]" caption="Count of Team1" measure="1" displayFolder="" measureGroup="Table1" count="0" hidden="1">
      <extLst>
        <ext xmlns:x15="http://schemas.microsoft.com/office/spreadsheetml/2010/11/main" uri="{B97F6D7D-B522-45F9-BDA1-12C45D357490}">
          <x15:cacheHierarchy aggregatedColumn="4"/>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9"/>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3"/>
        </ext>
      </extLst>
    </cacheHierarchy>
    <cacheHierarchy uniqueName="[Measures].[Count of Player]" caption="Count of Player" measure="1" displayFolder="" measureGroup="Table2" count="0" hidden="1">
      <extLst>
        <ext xmlns:x15="http://schemas.microsoft.com/office/spreadsheetml/2010/11/main" uri="{B97F6D7D-B522-45F9-BDA1-12C45D357490}">
          <x15:cacheHierarchy aggregatedColumn="15"/>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370634143517" backgroundQuery="1" createdVersion="7" refreshedVersion="7" minRefreshableVersion="3" recordCount="0" supportSubquery="1" supportAdvancedDrill="1" xr:uid="{35DE10E2-B952-4C75-8A1C-FDB1263E9F07}">
  <cacheSource type="external" connectionId="1"/>
  <cacheFields count="4">
    <cacheField name="[Measures].[Sum of Runs]" caption="Sum of Runs" numFmtId="0" hierarchy="36" level="32767"/>
    <cacheField name="[Table1].[Venue].[Venue]" caption="Venue" numFmtId="0" hierarchy="3" level="1">
      <sharedItems containsSemiMixedTypes="0" containsNonDate="0" containsString="0"/>
    </cacheField>
    <cacheField name="[Table2].[Team].[Team]" caption="Team" numFmtId="0" hierarchy="14" level="1">
      <sharedItems containsSemiMixedTypes="0" containsNonDate="0" containsString="0"/>
    </cacheField>
    <cacheField name="[Table1].[Season].[Season]" caption="Season" numFmtId="0" hierarchy="1" level="1">
      <sharedItems containsSemiMixedTypes="0" containsNonDate="0" containsString="0"/>
    </cacheField>
  </cacheFields>
  <cacheHierarchies count="59">
    <cacheHierarchy uniqueName="[Table1].[Match_ID]" caption="Match_ID" attribute="1" defaultMemberUniqueName="[Table1].[Match_ID].[All]" allUniqueName="[Table1].[Match_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3"/>
      </fieldsUsage>
    </cacheHierarchy>
    <cacheHierarchy uniqueName="[Table1].[Date]" caption="Date" attribute="1" defaultMemberUniqueName="[Table1].[Date].[All]" allUniqueName="[Table1].[Date].[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1"/>
      </fieldsUsage>
    </cacheHierarchy>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Result_Margin]" caption="Result_Margin" attribute="1" defaultMemberUniqueName="[Table1].[Result_Margin].[All]" allUniqueName="[Table1].[Result_Margin].[All]" dimensionUniqueName="[Table1]" displayFolder="" count="0" memberValueDatatype="20" unbalanced="0"/>
    <cacheHierarchy uniqueName="[Table2].[Match_ID]" caption="Match_ID" attribute="1" defaultMemberUniqueName="[Table2].[Match_ID].[All]" allUniqueName="[Table2].[Match_ID].[All]" dimensionUniqueName="[Table2]" displayFolder="" count="0" memberValueDatatype="20" unbalanced="0"/>
    <cacheHierarchy uniqueName="[Table2].[Season]" caption="Season" attribute="1" defaultMemberUniqueName="[Table2].[Season].[All]" allUniqueName="[Table2].[Season].[All]" dimensionUniqueName="[Table2]" displayFolder="" count="0" memberValueDatatype="20" unbalanced="0"/>
    <cacheHierarchy uniqueName="[Table2].[Team]" caption="Team" attribute="1" defaultMemberUniqueName="[Table2].[Team].[All]" allUniqueName="[Table2].[Team].[All]" dimensionUniqueName="[Table2]" displayFolder="" count="2" memberValueDatatype="130" unbalanced="0">
      <fieldsUsage count="2">
        <fieldUsage x="-1"/>
        <fieldUsage x="2"/>
      </fieldsUsage>
    </cacheHierarchy>
    <cacheHierarchy uniqueName="[Table2].[Player]" caption="Player" attribute="1" defaultMemberUniqueName="[Table2].[Player].[All]" allUniqueName="[Table2].[Player].[All]" dimensionUniqueName="[Table2]" displayFolder="" count="0" memberValueDatatype="130" unbalanced="0"/>
    <cacheHierarchy uniqueName="[Table2].[Runs]" caption="Runs" attribute="1" defaultMemberUniqueName="[Table2].[Runs].[All]" allUniqueName="[Table2].[Runs].[All]" dimensionUniqueName="[Table2]" displayFolder="" count="0" memberValueDatatype="20" unbalanced="0"/>
    <cacheHierarchy uniqueName="[Table2].[Balls]" caption="Balls" attribute="1" defaultMemberUniqueName="[Table2].[Balls].[All]" allUniqueName="[Table2].[Balls].[All]" dimensionUniqueName="[Table2]" displayFolder="" count="0" memberValueDatatype="20" unbalanced="0"/>
    <cacheHierarchy uniqueName="[Table2].[4s]" caption="4s" attribute="1" defaultMemberUniqueName="[Table2].[4s].[All]" allUniqueName="[Table2].[4s].[All]" dimensionUniqueName="[Table2]" displayFolder="" count="0" memberValueDatatype="20" unbalanced="0"/>
    <cacheHierarchy uniqueName="[Table2].[6s]" caption="6s" attribute="1" defaultMemberUniqueName="[Table2].[6s].[All]" allUniqueName="[Table2].[6s].[All]" dimensionUniqueName="[Table2]" displayFolder="" count="0" memberValueDatatype="20" unbalanced="0"/>
    <cacheHierarchy uniqueName="[Table2].[Strike_Rate]" caption="Strike_Rate" attribute="1" defaultMemberUniqueName="[Table2].[Strike_Rate].[All]" allUniqueName="[Table2].[Strike_Rate].[All]" dimensionUniqueName="[Table2]" displayFolder="" count="0" memberValueDatatype="5" unbalanced="0"/>
    <cacheHierarchy uniqueName="[Table3].[Match_ID]" caption="Match_ID" attribute="1" defaultMemberUniqueName="[Table3].[Match_ID].[All]" allUniqueName="[Table3].[Match_ID].[All]" dimensionUniqueName="[Table3]" displayFolder="" count="0" memberValueDatatype="20" unbalanced="0"/>
    <cacheHierarchy uniqueName="[Table3].[Season]" caption="Season" attribute="1" defaultMemberUniqueName="[Table3].[Season].[All]" allUniqueName="[Table3].[Season].[All]" dimensionUniqueName="[Table3]" displayFolder="" count="0" memberValueDatatype="20" unbalanced="0"/>
    <cacheHierarchy uniqueName="[Table3].[Team]" caption="Team" attribute="1" defaultMemberUniqueName="[Table3].[Team].[All]" allUniqueName="[Table3].[Team].[All]" dimensionUniqueName="[Table3]" displayFolder="" count="0" memberValueDatatype="130" unbalanced="0"/>
    <cacheHierarchy uniqueName="[Table3].[Bowler]" caption="Bowler" attribute="1" defaultMemberUniqueName="[Table3].[Bowler].[All]" allUniqueName="[Table3].[Bowler].[All]" dimensionUniqueName="[Table3]" displayFolder="" count="0" memberValueDatatype="130" unbalanced="0"/>
    <cacheHierarchy uniqueName="[Table3].[Overs]" caption="Overs" attribute="1" defaultMemberUniqueName="[Table3].[Overs].[All]" allUniqueName="[Table3].[Overs].[All]" dimensionUniqueName="[Table3]" displayFolder="" count="0" memberValueDatatype="20" unbalanced="0"/>
    <cacheHierarchy uniqueName="[Table3].[Runs_Conceded]" caption="Runs_Conceded" attribute="1" defaultMemberUniqueName="[Table3].[Runs_Conceded].[All]" allUniqueName="[Table3].[Runs_Conceded].[All]" dimensionUniqueName="[Table3]" displayFolder="" count="0" memberValueDatatype="20" unbalanced="0"/>
    <cacheHierarchy uniqueName="[Table3].[Wickets]" caption="Wickets" attribute="1" defaultMemberUniqueName="[Table3].[Wickets].[All]" allUniqueName="[Table3].[Wickets].[All]" dimensionUniqueName="[Table3]" displayFolder="" count="0" memberValueDatatype="20" unbalanced="0"/>
    <cacheHierarchy uniqueName="[Table3].[Economy]" caption="Economy" attribute="1" defaultMemberUniqueName="[Table3].[Economy].[All]" allUniqueName="[Table3].[Economy].[All]" dimensionUniqueName="[Table3]" displayFolder="" count="0" memberValueDatatype="5" unbalanced="0"/>
    <cacheHierarchy uniqueName="[Table4].[Winner]" caption="Winner" attribute="1" defaultMemberUniqueName="[Table4].[Winner].[All]" allUniqueName="[Table4].[Winner].[All]" dimensionUniqueName="[Table4]" displayFolder="" count="0" memberValueDatatype="130" unbalanced="0"/>
    <cacheHierarchy uniqueName="[Table4].[Wins]" caption="Wins" attribute="1" defaultMemberUniqueName="[Table4].[Wins].[All]" allUniqueName="[Table4].[Wins].[All]" dimensionUniqueName="[Table4]" displayFolder="" count="0" memberValueDatatype="2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uns]" caption="Sum of Runs" measure="1" displayFolder="" measureGroup="Table2"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Runs]" caption="Count of Runs" measure="1" displayFolder="" measureGroup="Table2" count="0" hidden="1">
      <extLst>
        <ext xmlns:x15="http://schemas.microsoft.com/office/spreadsheetml/2010/11/main" uri="{B97F6D7D-B522-45F9-BDA1-12C45D357490}">
          <x15:cacheHierarchy aggregatedColumn="16"/>
        </ext>
      </extLst>
    </cacheHierarchy>
    <cacheHierarchy uniqueName="[Measures].[Sum of 4s]" caption="Sum of 4s" measure="1" displayFolder="" measureGroup="Table2" count="0" hidden="1">
      <extLst>
        <ext xmlns:x15="http://schemas.microsoft.com/office/spreadsheetml/2010/11/main" uri="{B97F6D7D-B522-45F9-BDA1-12C45D357490}">
          <x15:cacheHierarchy aggregatedColumn="18"/>
        </ext>
      </extLst>
    </cacheHierarchy>
    <cacheHierarchy uniqueName="[Measures].[Sum of 6s]" caption="Sum of 6s" measure="1" displayFolder="" measureGroup="Table2" count="0" hidden="1">
      <extLst>
        <ext xmlns:x15="http://schemas.microsoft.com/office/spreadsheetml/2010/11/main" uri="{B97F6D7D-B522-45F9-BDA1-12C45D357490}">
          <x15:cacheHierarchy aggregatedColumn="19"/>
        </ext>
      </extLst>
    </cacheHierarchy>
    <cacheHierarchy uniqueName="[Measures].[Sum of Wickets]" caption="Sum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Wins]" caption="Sum of Wins" measure="1" displayFolder="" measureGroup="Table4" count="0" hidden="1">
      <extLst>
        <ext xmlns:x15="http://schemas.microsoft.com/office/spreadsheetml/2010/11/main" uri="{B97F6D7D-B522-45F9-BDA1-12C45D357490}">
          <x15:cacheHierarchy aggregatedColumn="30"/>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0"/>
        </ext>
      </extLst>
    </cacheHierarchy>
    <cacheHierarchy uniqueName="[Measures].[StdDev of Wins]" caption="StdDev of Wins" measure="1" displayFolder="" measureGroup="Table4" count="0" hidden="1">
      <extLst>
        <ext xmlns:x15="http://schemas.microsoft.com/office/spreadsheetml/2010/11/main" uri="{B97F6D7D-B522-45F9-BDA1-12C45D357490}">
          <x15:cacheHierarchy aggregatedColumn="30"/>
        </ext>
      </extLst>
    </cacheHierarchy>
    <cacheHierarchy uniqueName="[Measures].[Sum of Match_ID]" caption="Sum of Match_ID" measure="1" displayFolder="" measureGroup="Table1" count="0" hidden="1">
      <extLst>
        <ext xmlns:x15="http://schemas.microsoft.com/office/spreadsheetml/2010/11/main" uri="{B97F6D7D-B522-45F9-BDA1-12C45D357490}">
          <x15:cacheHierarchy aggregatedColumn="0"/>
        </ext>
      </extLst>
    </cacheHierarchy>
    <cacheHierarchy uniqueName="[Measures].[Average of Match_ID]" caption="Average of Match_ID" measure="1" displayFolder="" measureGroup="Table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Table1" count="0" hidden="1">
      <extLst>
        <ext xmlns:x15="http://schemas.microsoft.com/office/spreadsheetml/2010/11/main" uri="{B97F6D7D-B522-45F9-BDA1-12C45D357490}">
          <x15:cacheHierarchy aggregatedColumn="0"/>
        </ext>
      </extLst>
    </cacheHierarchy>
    <cacheHierarchy uniqueName="[Measures].[Sum of Match_ID 2]" caption="Sum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Match_ID 2]" caption="Count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Wickets]" caption="Count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Table2" count="0" hidden="1">
      <extLst>
        <ext xmlns:x15="http://schemas.microsoft.com/office/spreadsheetml/2010/11/main" uri="{B97F6D7D-B522-45F9-BDA1-12C45D357490}">
          <x15:cacheHierarchy aggregatedColumn="14"/>
        </ext>
      </extLst>
    </cacheHierarchy>
    <cacheHierarchy uniqueName="[Measures].[Sum of Team]" caption="Sum of Team" measure="1" displayFolder="" measureGroup="Table2" count="0" hidden="1">
      <extLst>
        <ext xmlns:x15="http://schemas.microsoft.com/office/spreadsheetml/2010/11/main" uri="{B97F6D7D-B522-45F9-BDA1-12C45D357490}">
          <x15:cacheHierarchy aggregatedColumn="14"/>
        </ext>
      </extLst>
    </cacheHierarchy>
    <cacheHierarchy uniqueName="[Measures].[Average of Team]" caption="Average of Team" measure="1" displayFolder="" measureGroup="Table2" count="0" hidden="1">
      <extLst>
        <ext xmlns:x15="http://schemas.microsoft.com/office/spreadsheetml/2010/11/main" uri="{B97F6D7D-B522-45F9-BDA1-12C45D357490}">
          <x15:cacheHierarchy aggregatedColumn="14"/>
        </ext>
      </extLst>
    </cacheHierarchy>
    <cacheHierarchy uniqueName="[Measures].[Count of Team1]" caption="Count of Team1" measure="1" displayFolder="" measureGroup="Table1" count="0" hidden="1">
      <extLst>
        <ext xmlns:x15="http://schemas.microsoft.com/office/spreadsheetml/2010/11/main" uri="{B97F6D7D-B522-45F9-BDA1-12C45D357490}">
          <x15:cacheHierarchy aggregatedColumn="4"/>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9"/>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3"/>
        </ext>
      </extLst>
    </cacheHierarchy>
    <cacheHierarchy uniqueName="[Measures].[Count of Player]" caption="Count of Player" measure="1" displayFolder="" measureGroup="Table2" count="0" hidden="1">
      <extLst>
        <ext xmlns:x15="http://schemas.microsoft.com/office/spreadsheetml/2010/11/main" uri="{B97F6D7D-B522-45F9-BDA1-12C45D357490}">
          <x15:cacheHierarchy aggregatedColumn="15"/>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370634606479" backgroundQuery="1" createdVersion="7" refreshedVersion="7" minRefreshableVersion="3" recordCount="0" supportSubquery="1" supportAdvancedDrill="1" xr:uid="{CBBA9D8E-A3D0-4302-86F7-75CCA1BC1945}">
  <cacheSource type="external" connectionId="1"/>
  <cacheFields count="4">
    <cacheField name="[Measures].[Sum of 4s]" caption="Sum of 4s" numFmtId="0" hierarchy="38" level="32767"/>
    <cacheField name="[Table1].[Venue].[Venue]" caption="Venue" numFmtId="0" hierarchy="3" level="1">
      <sharedItems containsSemiMixedTypes="0" containsNonDate="0" containsString="0"/>
    </cacheField>
    <cacheField name="[Table2].[Team].[Team]" caption="Team" numFmtId="0" hierarchy="14" level="1">
      <sharedItems containsSemiMixedTypes="0" containsNonDate="0" containsString="0"/>
    </cacheField>
    <cacheField name="[Table1].[Season].[Season]" caption="Season" numFmtId="0" hierarchy="1" level="1">
      <sharedItems containsSemiMixedTypes="0" containsNonDate="0" containsString="0"/>
    </cacheField>
  </cacheFields>
  <cacheHierarchies count="59">
    <cacheHierarchy uniqueName="[Table1].[Match_ID]" caption="Match_ID" attribute="1" defaultMemberUniqueName="[Table1].[Match_ID].[All]" allUniqueName="[Table1].[Match_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3"/>
      </fieldsUsage>
    </cacheHierarchy>
    <cacheHierarchy uniqueName="[Table1].[Date]" caption="Date" attribute="1" defaultMemberUniqueName="[Table1].[Date].[All]" allUniqueName="[Table1].[Date].[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1"/>
      </fieldsUsage>
    </cacheHierarchy>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Result_Margin]" caption="Result_Margin" attribute="1" defaultMemberUniqueName="[Table1].[Result_Margin].[All]" allUniqueName="[Table1].[Result_Margin].[All]" dimensionUniqueName="[Table1]" displayFolder="" count="0" memberValueDatatype="20" unbalanced="0"/>
    <cacheHierarchy uniqueName="[Table2].[Match_ID]" caption="Match_ID" attribute="1" defaultMemberUniqueName="[Table2].[Match_ID].[All]" allUniqueName="[Table2].[Match_ID].[All]" dimensionUniqueName="[Table2]" displayFolder="" count="0" memberValueDatatype="20" unbalanced="0"/>
    <cacheHierarchy uniqueName="[Table2].[Season]" caption="Season" attribute="1" defaultMemberUniqueName="[Table2].[Season].[All]" allUniqueName="[Table2].[Season].[All]" dimensionUniqueName="[Table2]" displayFolder="" count="0" memberValueDatatype="20" unbalanced="0"/>
    <cacheHierarchy uniqueName="[Table2].[Team]" caption="Team" attribute="1" defaultMemberUniqueName="[Table2].[Team].[All]" allUniqueName="[Table2].[Team].[All]" dimensionUniqueName="[Table2]" displayFolder="" count="2" memberValueDatatype="130" unbalanced="0">
      <fieldsUsage count="2">
        <fieldUsage x="-1"/>
        <fieldUsage x="2"/>
      </fieldsUsage>
    </cacheHierarchy>
    <cacheHierarchy uniqueName="[Table2].[Player]" caption="Player" attribute="1" defaultMemberUniqueName="[Table2].[Player].[All]" allUniqueName="[Table2].[Player].[All]" dimensionUniqueName="[Table2]" displayFolder="" count="0" memberValueDatatype="130" unbalanced="0"/>
    <cacheHierarchy uniqueName="[Table2].[Runs]" caption="Runs" attribute="1" defaultMemberUniqueName="[Table2].[Runs].[All]" allUniqueName="[Table2].[Runs].[All]" dimensionUniqueName="[Table2]" displayFolder="" count="0" memberValueDatatype="20" unbalanced="0"/>
    <cacheHierarchy uniqueName="[Table2].[Balls]" caption="Balls" attribute="1" defaultMemberUniqueName="[Table2].[Balls].[All]" allUniqueName="[Table2].[Balls].[All]" dimensionUniqueName="[Table2]" displayFolder="" count="0" memberValueDatatype="20" unbalanced="0"/>
    <cacheHierarchy uniqueName="[Table2].[4s]" caption="4s" attribute="1" defaultMemberUniqueName="[Table2].[4s].[All]" allUniqueName="[Table2].[4s].[All]" dimensionUniqueName="[Table2]" displayFolder="" count="0" memberValueDatatype="20" unbalanced="0"/>
    <cacheHierarchy uniqueName="[Table2].[6s]" caption="6s" attribute="1" defaultMemberUniqueName="[Table2].[6s].[All]" allUniqueName="[Table2].[6s].[All]" dimensionUniqueName="[Table2]" displayFolder="" count="0" memberValueDatatype="20" unbalanced="0"/>
    <cacheHierarchy uniqueName="[Table2].[Strike_Rate]" caption="Strike_Rate" attribute="1" defaultMemberUniqueName="[Table2].[Strike_Rate].[All]" allUniqueName="[Table2].[Strike_Rate].[All]" dimensionUniqueName="[Table2]" displayFolder="" count="0" memberValueDatatype="5" unbalanced="0"/>
    <cacheHierarchy uniqueName="[Table3].[Match_ID]" caption="Match_ID" attribute="1" defaultMemberUniqueName="[Table3].[Match_ID].[All]" allUniqueName="[Table3].[Match_ID].[All]" dimensionUniqueName="[Table3]" displayFolder="" count="0" memberValueDatatype="20" unbalanced="0"/>
    <cacheHierarchy uniqueName="[Table3].[Season]" caption="Season" attribute="1" defaultMemberUniqueName="[Table3].[Season].[All]" allUniqueName="[Table3].[Season].[All]" dimensionUniqueName="[Table3]" displayFolder="" count="0" memberValueDatatype="20" unbalanced="0"/>
    <cacheHierarchy uniqueName="[Table3].[Team]" caption="Team" attribute="1" defaultMemberUniqueName="[Table3].[Team].[All]" allUniqueName="[Table3].[Team].[All]" dimensionUniqueName="[Table3]" displayFolder="" count="0" memberValueDatatype="130" unbalanced="0"/>
    <cacheHierarchy uniqueName="[Table3].[Bowler]" caption="Bowler" attribute="1" defaultMemberUniqueName="[Table3].[Bowler].[All]" allUniqueName="[Table3].[Bowler].[All]" dimensionUniqueName="[Table3]" displayFolder="" count="0" memberValueDatatype="130" unbalanced="0"/>
    <cacheHierarchy uniqueName="[Table3].[Overs]" caption="Overs" attribute="1" defaultMemberUniqueName="[Table3].[Overs].[All]" allUniqueName="[Table3].[Overs].[All]" dimensionUniqueName="[Table3]" displayFolder="" count="0" memberValueDatatype="20" unbalanced="0"/>
    <cacheHierarchy uniqueName="[Table3].[Runs_Conceded]" caption="Runs_Conceded" attribute="1" defaultMemberUniqueName="[Table3].[Runs_Conceded].[All]" allUniqueName="[Table3].[Runs_Conceded].[All]" dimensionUniqueName="[Table3]" displayFolder="" count="0" memberValueDatatype="20" unbalanced="0"/>
    <cacheHierarchy uniqueName="[Table3].[Wickets]" caption="Wickets" attribute="1" defaultMemberUniqueName="[Table3].[Wickets].[All]" allUniqueName="[Table3].[Wickets].[All]" dimensionUniqueName="[Table3]" displayFolder="" count="0" memberValueDatatype="20" unbalanced="0"/>
    <cacheHierarchy uniqueName="[Table3].[Economy]" caption="Economy" attribute="1" defaultMemberUniqueName="[Table3].[Economy].[All]" allUniqueName="[Table3].[Economy].[All]" dimensionUniqueName="[Table3]" displayFolder="" count="0" memberValueDatatype="5" unbalanced="0"/>
    <cacheHierarchy uniqueName="[Table4].[Winner]" caption="Winner" attribute="1" defaultMemberUniqueName="[Table4].[Winner].[All]" allUniqueName="[Table4].[Winner].[All]" dimensionUniqueName="[Table4]" displayFolder="" count="0" memberValueDatatype="130" unbalanced="0"/>
    <cacheHierarchy uniqueName="[Table4].[Wins]" caption="Wins" attribute="1" defaultMemberUniqueName="[Table4].[Wins].[All]" allUniqueName="[Table4].[Wins].[All]" dimensionUniqueName="[Table4]" displayFolder="" count="0" memberValueDatatype="2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uns]" caption="Sum of Runs" measure="1" displayFolder="" measureGroup="Table2" count="0" hidden="1">
      <extLst>
        <ext xmlns:x15="http://schemas.microsoft.com/office/spreadsheetml/2010/11/main" uri="{B97F6D7D-B522-45F9-BDA1-12C45D357490}">
          <x15:cacheHierarchy aggregatedColumn="16"/>
        </ext>
      </extLst>
    </cacheHierarchy>
    <cacheHierarchy uniqueName="[Measures].[Count of Runs]" caption="Count of Runs" measure="1" displayFolder="" measureGroup="Table2" count="0" hidden="1">
      <extLst>
        <ext xmlns:x15="http://schemas.microsoft.com/office/spreadsheetml/2010/11/main" uri="{B97F6D7D-B522-45F9-BDA1-12C45D357490}">
          <x15:cacheHierarchy aggregatedColumn="16"/>
        </ext>
      </extLst>
    </cacheHierarchy>
    <cacheHierarchy uniqueName="[Measures].[Sum of 4s]" caption="Sum of 4s" measure="1" displayFolder="" measureGroup="Table2"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6s]" caption="Sum of 6s" measure="1" displayFolder="" measureGroup="Table2" count="0" hidden="1">
      <extLst>
        <ext xmlns:x15="http://schemas.microsoft.com/office/spreadsheetml/2010/11/main" uri="{B97F6D7D-B522-45F9-BDA1-12C45D357490}">
          <x15:cacheHierarchy aggregatedColumn="19"/>
        </ext>
      </extLst>
    </cacheHierarchy>
    <cacheHierarchy uniqueName="[Measures].[Sum of Wickets]" caption="Sum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Wins]" caption="Sum of Wins" measure="1" displayFolder="" measureGroup="Table4" count="0" hidden="1">
      <extLst>
        <ext xmlns:x15="http://schemas.microsoft.com/office/spreadsheetml/2010/11/main" uri="{B97F6D7D-B522-45F9-BDA1-12C45D357490}">
          <x15:cacheHierarchy aggregatedColumn="30"/>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0"/>
        </ext>
      </extLst>
    </cacheHierarchy>
    <cacheHierarchy uniqueName="[Measures].[StdDev of Wins]" caption="StdDev of Wins" measure="1" displayFolder="" measureGroup="Table4" count="0" hidden="1">
      <extLst>
        <ext xmlns:x15="http://schemas.microsoft.com/office/spreadsheetml/2010/11/main" uri="{B97F6D7D-B522-45F9-BDA1-12C45D357490}">
          <x15:cacheHierarchy aggregatedColumn="30"/>
        </ext>
      </extLst>
    </cacheHierarchy>
    <cacheHierarchy uniqueName="[Measures].[Sum of Match_ID]" caption="Sum of Match_ID" measure="1" displayFolder="" measureGroup="Table1" count="0" hidden="1">
      <extLst>
        <ext xmlns:x15="http://schemas.microsoft.com/office/spreadsheetml/2010/11/main" uri="{B97F6D7D-B522-45F9-BDA1-12C45D357490}">
          <x15:cacheHierarchy aggregatedColumn="0"/>
        </ext>
      </extLst>
    </cacheHierarchy>
    <cacheHierarchy uniqueName="[Measures].[Average of Match_ID]" caption="Average of Match_ID" measure="1" displayFolder="" measureGroup="Table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Table1" count="0" hidden="1">
      <extLst>
        <ext xmlns:x15="http://schemas.microsoft.com/office/spreadsheetml/2010/11/main" uri="{B97F6D7D-B522-45F9-BDA1-12C45D357490}">
          <x15:cacheHierarchy aggregatedColumn="0"/>
        </ext>
      </extLst>
    </cacheHierarchy>
    <cacheHierarchy uniqueName="[Measures].[Sum of Match_ID 2]" caption="Sum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Match_ID 2]" caption="Count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Wickets]" caption="Count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Table2" count="0" hidden="1">
      <extLst>
        <ext xmlns:x15="http://schemas.microsoft.com/office/spreadsheetml/2010/11/main" uri="{B97F6D7D-B522-45F9-BDA1-12C45D357490}">
          <x15:cacheHierarchy aggregatedColumn="14"/>
        </ext>
      </extLst>
    </cacheHierarchy>
    <cacheHierarchy uniqueName="[Measures].[Sum of Team]" caption="Sum of Team" measure="1" displayFolder="" measureGroup="Table2" count="0" hidden="1">
      <extLst>
        <ext xmlns:x15="http://schemas.microsoft.com/office/spreadsheetml/2010/11/main" uri="{B97F6D7D-B522-45F9-BDA1-12C45D357490}">
          <x15:cacheHierarchy aggregatedColumn="14"/>
        </ext>
      </extLst>
    </cacheHierarchy>
    <cacheHierarchy uniqueName="[Measures].[Average of Team]" caption="Average of Team" measure="1" displayFolder="" measureGroup="Table2" count="0" hidden="1">
      <extLst>
        <ext xmlns:x15="http://schemas.microsoft.com/office/spreadsheetml/2010/11/main" uri="{B97F6D7D-B522-45F9-BDA1-12C45D357490}">
          <x15:cacheHierarchy aggregatedColumn="14"/>
        </ext>
      </extLst>
    </cacheHierarchy>
    <cacheHierarchy uniqueName="[Measures].[Count of Team1]" caption="Count of Team1" measure="1" displayFolder="" measureGroup="Table1" count="0" hidden="1">
      <extLst>
        <ext xmlns:x15="http://schemas.microsoft.com/office/spreadsheetml/2010/11/main" uri="{B97F6D7D-B522-45F9-BDA1-12C45D357490}">
          <x15:cacheHierarchy aggregatedColumn="4"/>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9"/>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3"/>
        </ext>
      </extLst>
    </cacheHierarchy>
    <cacheHierarchy uniqueName="[Measures].[Count of Player]" caption="Count of Player" measure="1" displayFolder="" measureGroup="Table2" count="0" hidden="1">
      <extLst>
        <ext xmlns:x15="http://schemas.microsoft.com/office/spreadsheetml/2010/11/main" uri="{B97F6D7D-B522-45F9-BDA1-12C45D357490}">
          <x15:cacheHierarchy aggregatedColumn="15"/>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370635069441" backgroundQuery="1" createdVersion="7" refreshedVersion="7" minRefreshableVersion="3" recordCount="0" supportSubquery="1" supportAdvancedDrill="1" xr:uid="{3371EBBC-4587-4BC3-A613-4D23AB84B4DA}">
  <cacheSource type="external" connectionId="1"/>
  <cacheFields count="4">
    <cacheField name="[Measures].[Sum of 6s]" caption="Sum of 6s" numFmtId="0" hierarchy="39" level="32767"/>
    <cacheField name="[Table1].[Venue].[Venue]" caption="Venue" numFmtId="0" hierarchy="3" level="1">
      <sharedItems containsSemiMixedTypes="0" containsNonDate="0" containsString="0"/>
    </cacheField>
    <cacheField name="[Table2].[Team].[Team]" caption="Team" numFmtId="0" hierarchy="14" level="1">
      <sharedItems containsSemiMixedTypes="0" containsNonDate="0" containsString="0"/>
    </cacheField>
    <cacheField name="[Table1].[Season].[Season]" caption="Season" numFmtId="0" hierarchy="1" level="1">
      <sharedItems containsSemiMixedTypes="0" containsNonDate="0" containsString="0"/>
    </cacheField>
  </cacheFields>
  <cacheHierarchies count="59">
    <cacheHierarchy uniqueName="[Table1].[Match_ID]" caption="Match_ID" attribute="1" defaultMemberUniqueName="[Table1].[Match_ID].[All]" allUniqueName="[Table1].[Match_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3"/>
      </fieldsUsage>
    </cacheHierarchy>
    <cacheHierarchy uniqueName="[Table1].[Date]" caption="Date" attribute="1" defaultMemberUniqueName="[Table1].[Date].[All]" allUniqueName="[Table1].[Date].[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1"/>
      </fieldsUsage>
    </cacheHierarchy>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Result_Margin]" caption="Result_Margin" attribute="1" defaultMemberUniqueName="[Table1].[Result_Margin].[All]" allUniqueName="[Table1].[Result_Margin].[All]" dimensionUniqueName="[Table1]" displayFolder="" count="0" memberValueDatatype="20" unbalanced="0"/>
    <cacheHierarchy uniqueName="[Table2].[Match_ID]" caption="Match_ID" attribute="1" defaultMemberUniqueName="[Table2].[Match_ID].[All]" allUniqueName="[Table2].[Match_ID].[All]" dimensionUniqueName="[Table2]" displayFolder="" count="0" memberValueDatatype="20" unbalanced="0"/>
    <cacheHierarchy uniqueName="[Table2].[Season]" caption="Season" attribute="1" defaultMemberUniqueName="[Table2].[Season].[All]" allUniqueName="[Table2].[Season].[All]" dimensionUniqueName="[Table2]" displayFolder="" count="0" memberValueDatatype="20" unbalanced="0"/>
    <cacheHierarchy uniqueName="[Table2].[Team]" caption="Team" attribute="1" defaultMemberUniqueName="[Table2].[Team].[All]" allUniqueName="[Table2].[Team].[All]" dimensionUniqueName="[Table2]" displayFolder="" count="2" memberValueDatatype="130" unbalanced="0">
      <fieldsUsage count="2">
        <fieldUsage x="-1"/>
        <fieldUsage x="2"/>
      </fieldsUsage>
    </cacheHierarchy>
    <cacheHierarchy uniqueName="[Table2].[Player]" caption="Player" attribute="1" defaultMemberUniqueName="[Table2].[Player].[All]" allUniqueName="[Table2].[Player].[All]" dimensionUniqueName="[Table2]" displayFolder="" count="0" memberValueDatatype="130" unbalanced="0"/>
    <cacheHierarchy uniqueName="[Table2].[Runs]" caption="Runs" attribute="1" defaultMemberUniqueName="[Table2].[Runs].[All]" allUniqueName="[Table2].[Runs].[All]" dimensionUniqueName="[Table2]" displayFolder="" count="0" memberValueDatatype="20" unbalanced="0"/>
    <cacheHierarchy uniqueName="[Table2].[Balls]" caption="Balls" attribute="1" defaultMemberUniqueName="[Table2].[Balls].[All]" allUniqueName="[Table2].[Balls].[All]" dimensionUniqueName="[Table2]" displayFolder="" count="0" memberValueDatatype="20" unbalanced="0"/>
    <cacheHierarchy uniqueName="[Table2].[4s]" caption="4s" attribute="1" defaultMemberUniqueName="[Table2].[4s].[All]" allUniqueName="[Table2].[4s].[All]" dimensionUniqueName="[Table2]" displayFolder="" count="0" memberValueDatatype="20" unbalanced="0"/>
    <cacheHierarchy uniqueName="[Table2].[6s]" caption="6s" attribute="1" defaultMemberUniqueName="[Table2].[6s].[All]" allUniqueName="[Table2].[6s].[All]" dimensionUniqueName="[Table2]" displayFolder="" count="0" memberValueDatatype="20" unbalanced="0"/>
    <cacheHierarchy uniqueName="[Table2].[Strike_Rate]" caption="Strike_Rate" attribute="1" defaultMemberUniqueName="[Table2].[Strike_Rate].[All]" allUniqueName="[Table2].[Strike_Rate].[All]" dimensionUniqueName="[Table2]" displayFolder="" count="0" memberValueDatatype="5" unbalanced="0"/>
    <cacheHierarchy uniqueName="[Table3].[Match_ID]" caption="Match_ID" attribute="1" defaultMemberUniqueName="[Table3].[Match_ID].[All]" allUniqueName="[Table3].[Match_ID].[All]" dimensionUniqueName="[Table3]" displayFolder="" count="0" memberValueDatatype="20" unbalanced="0"/>
    <cacheHierarchy uniqueName="[Table3].[Season]" caption="Season" attribute="1" defaultMemberUniqueName="[Table3].[Season].[All]" allUniqueName="[Table3].[Season].[All]" dimensionUniqueName="[Table3]" displayFolder="" count="0" memberValueDatatype="20" unbalanced="0"/>
    <cacheHierarchy uniqueName="[Table3].[Team]" caption="Team" attribute="1" defaultMemberUniqueName="[Table3].[Team].[All]" allUniqueName="[Table3].[Team].[All]" dimensionUniqueName="[Table3]" displayFolder="" count="0" memberValueDatatype="130" unbalanced="0"/>
    <cacheHierarchy uniqueName="[Table3].[Bowler]" caption="Bowler" attribute="1" defaultMemberUniqueName="[Table3].[Bowler].[All]" allUniqueName="[Table3].[Bowler].[All]" dimensionUniqueName="[Table3]" displayFolder="" count="0" memberValueDatatype="130" unbalanced="0"/>
    <cacheHierarchy uniqueName="[Table3].[Overs]" caption="Overs" attribute="1" defaultMemberUniqueName="[Table3].[Overs].[All]" allUniqueName="[Table3].[Overs].[All]" dimensionUniqueName="[Table3]" displayFolder="" count="0" memberValueDatatype="20" unbalanced="0"/>
    <cacheHierarchy uniqueName="[Table3].[Runs_Conceded]" caption="Runs_Conceded" attribute="1" defaultMemberUniqueName="[Table3].[Runs_Conceded].[All]" allUniqueName="[Table3].[Runs_Conceded].[All]" dimensionUniqueName="[Table3]" displayFolder="" count="0" memberValueDatatype="20" unbalanced="0"/>
    <cacheHierarchy uniqueName="[Table3].[Wickets]" caption="Wickets" attribute="1" defaultMemberUniqueName="[Table3].[Wickets].[All]" allUniqueName="[Table3].[Wickets].[All]" dimensionUniqueName="[Table3]" displayFolder="" count="0" memberValueDatatype="20" unbalanced="0"/>
    <cacheHierarchy uniqueName="[Table3].[Economy]" caption="Economy" attribute="1" defaultMemberUniqueName="[Table3].[Economy].[All]" allUniqueName="[Table3].[Economy].[All]" dimensionUniqueName="[Table3]" displayFolder="" count="0" memberValueDatatype="5" unbalanced="0"/>
    <cacheHierarchy uniqueName="[Table4].[Winner]" caption="Winner" attribute="1" defaultMemberUniqueName="[Table4].[Winner].[All]" allUniqueName="[Table4].[Winner].[All]" dimensionUniqueName="[Table4]" displayFolder="" count="0" memberValueDatatype="130" unbalanced="0"/>
    <cacheHierarchy uniqueName="[Table4].[Wins]" caption="Wins" attribute="1" defaultMemberUniqueName="[Table4].[Wins].[All]" allUniqueName="[Table4].[Wins].[All]" dimensionUniqueName="[Table4]" displayFolder="" count="0" memberValueDatatype="2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uns]" caption="Sum of Runs" measure="1" displayFolder="" measureGroup="Table2" count="0" hidden="1">
      <extLst>
        <ext xmlns:x15="http://schemas.microsoft.com/office/spreadsheetml/2010/11/main" uri="{B97F6D7D-B522-45F9-BDA1-12C45D357490}">
          <x15:cacheHierarchy aggregatedColumn="16"/>
        </ext>
      </extLst>
    </cacheHierarchy>
    <cacheHierarchy uniqueName="[Measures].[Count of Runs]" caption="Count of Runs" measure="1" displayFolder="" measureGroup="Table2" count="0" hidden="1">
      <extLst>
        <ext xmlns:x15="http://schemas.microsoft.com/office/spreadsheetml/2010/11/main" uri="{B97F6D7D-B522-45F9-BDA1-12C45D357490}">
          <x15:cacheHierarchy aggregatedColumn="16"/>
        </ext>
      </extLst>
    </cacheHierarchy>
    <cacheHierarchy uniqueName="[Measures].[Sum of 4s]" caption="Sum of 4s" measure="1" displayFolder="" measureGroup="Table2" count="0" hidden="1">
      <extLst>
        <ext xmlns:x15="http://schemas.microsoft.com/office/spreadsheetml/2010/11/main" uri="{B97F6D7D-B522-45F9-BDA1-12C45D357490}">
          <x15:cacheHierarchy aggregatedColumn="18"/>
        </ext>
      </extLst>
    </cacheHierarchy>
    <cacheHierarchy uniqueName="[Measures].[Sum of 6s]" caption="Sum of 6s" measure="1" displayFolder="" measureGroup="Table2"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Wickets]" caption="Sum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Wins]" caption="Sum of Wins" measure="1" displayFolder="" measureGroup="Table4" count="0" hidden="1">
      <extLst>
        <ext xmlns:x15="http://schemas.microsoft.com/office/spreadsheetml/2010/11/main" uri="{B97F6D7D-B522-45F9-BDA1-12C45D357490}">
          <x15:cacheHierarchy aggregatedColumn="30"/>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0"/>
        </ext>
      </extLst>
    </cacheHierarchy>
    <cacheHierarchy uniqueName="[Measures].[StdDev of Wins]" caption="StdDev of Wins" measure="1" displayFolder="" measureGroup="Table4" count="0" hidden="1">
      <extLst>
        <ext xmlns:x15="http://schemas.microsoft.com/office/spreadsheetml/2010/11/main" uri="{B97F6D7D-B522-45F9-BDA1-12C45D357490}">
          <x15:cacheHierarchy aggregatedColumn="30"/>
        </ext>
      </extLst>
    </cacheHierarchy>
    <cacheHierarchy uniqueName="[Measures].[Sum of Match_ID]" caption="Sum of Match_ID" measure="1" displayFolder="" measureGroup="Table1" count="0" hidden="1">
      <extLst>
        <ext xmlns:x15="http://schemas.microsoft.com/office/spreadsheetml/2010/11/main" uri="{B97F6D7D-B522-45F9-BDA1-12C45D357490}">
          <x15:cacheHierarchy aggregatedColumn="0"/>
        </ext>
      </extLst>
    </cacheHierarchy>
    <cacheHierarchy uniqueName="[Measures].[Average of Match_ID]" caption="Average of Match_ID" measure="1" displayFolder="" measureGroup="Table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Table1" count="0" hidden="1">
      <extLst>
        <ext xmlns:x15="http://schemas.microsoft.com/office/spreadsheetml/2010/11/main" uri="{B97F6D7D-B522-45F9-BDA1-12C45D357490}">
          <x15:cacheHierarchy aggregatedColumn="0"/>
        </ext>
      </extLst>
    </cacheHierarchy>
    <cacheHierarchy uniqueName="[Measures].[Sum of Match_ID 2]" caption="Sum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Match_ID 2]" caption="Count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Wickets]" caption="Count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Table2" count="0" hidden="1">
      <extLst>
        <ext xmlns:x15="http://schemas.microsoft.com/office/spreadsheetml/2010/11/main" uri="{B97F6D7D-B522-45F9-BDA1-12C45D357490}">
          <x15:cacheHierarchy aggregatedColumn="14"/>
        </ext>
      </extLst>
    </cacheHierarchy>
    <cacheHierarchy uniqueName="[Measures].[Sum of Team]" caption="Sum of Team" measure="1" displayFolder="" measureGroup="Table2" count="0" hidden="1">
      <extLst>
        <ext xmlns:x15="http://schemas.microsoft.com/office/spreadsheetml/2010/11/main" uri="{B97F6D7D-B522-45F9-BDA1-12C45D357490}">
          <x15:cacheHierarchy aggregatedColumn="14"/>
        </ext>
      </extLst>
    </cacheHierarchy>
    <cacheHierarchy uniqueName="[Measures].[Average of Team]" caption="Average of Team" measure="1" displayFolder="" measureGroup="Table2" count="0" hidden="1">
      <extLst>
        <ext xmlns:x15="http://schemas.microsoft.com/office/spreadsheetml/2010/11/main" uri="{B97F6D7D-B522-45F9-BDA1-12C45D357490}">
          <x15:cacheHierarchy aggregatedColumn="14"/>
        </ext>
      </extLst>
    </cacheHierarchy>
    <cacheHierarchy uniqueName="[Measures].[Count of Team1]" caption="Count of Team1" measure="1" displayFolder="" measureGroup="Table1" count="0" hidden="1">
      <extLst>
        <ext xmlns:x15="http://schemas.microsoft.com/office/spreadsheetml/2010/11/main" uri="{B97F6D7D-B522-45F9-BDA1-12C45D357490}">
          <x15:cacheHierarchy aggregatedColumn="4"/>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9"/>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3"/>
        </ext>
      </extLst>
    </cacheHierarchy>
    <cacheHierarchy uniqueName="[Measures].[Count of Player]" caption="Count of Player" measure="1" displayFolder="" measureGroup="Table2" count="0" hidden="1">
      <extLst>
        <ext xmlns:x15="http://schemas.microsoft.com/office/spreadsheetml/2010/11/main" uri="{B97F6D7D-B522-45F9-BDA1-12C45D357490}">
          <x15:cacheHierarchy aggregatedColumn="15"/>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370635416664" backgroundQuery="1" createdVersion="7" refreshedVersion="7" minRefreshableVersion="3" recordCount="0" supportSubquery="1" supportAdvancedDrill="1" xr:uid="{EA1F6775-1E81-44A9-B737-046E02AF12FB}">
  <cacheSource type="external" connectionId="1"/>
  <cacheFields count="4">
    <cacheField name="[Measures].[Sum of Wickets]" caption="Sum of Wickets" numFmtId="0" hierarchy="40" level="32767"/>
    <cacheField name="[Table1].[Venue].[Venue]" caption="Venue" numFmtId="0" hierarchy="3" level="1">
      <sharedItems containsSemiMixedTypes="0" containsNonDate="0" containsString="0"/>
    </cacheField>
    <cacheField name="[Table2].[Team].[Team]" caption="Team" numFmtId="0" hierarchy="14" level="1">
      <sharedItems containsSemiMixedTypes="0" containsNonDate="0" containsString="0"/>
    </cacheField>
    <cacheField name="[Table1].[Season].[Season]" caption="Season" numFmtId="0" hierarchy="1" level="1">
      <sharedItems containsSemiMixedTypes="0" containsNonDate="0" containsString="0"/>
    </cacheField>
  </cacheFields>
  <cacheHierarchies count="59">
    <cacheHierarchy uniqueName="[Table1].[Match_ID]" caption="Match_ID" attribute="1" defaultMemberUniqueName="[Table1].[Match_ID].[All]" allUniqueName="[Table1].[Match_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3"/>
      </fieldsUsage>
    </cacheHierarchy>
    <cacheHierarchy uniqueName="[Table1].[Date]" caption="Date" attribute="1" defaultMemberUniqueName="[Table1].[Date].[All]" allUniqueName="[Table1].[Date].[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1"/>
      </fieldsUsage>
    </cacheHierarchy>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Result_Margin]" caption="Result_Margin" attribute="1" defaultMemberUniqueName="[Table1].[Result_Margin].[All]" allUniqueName="[Table1].[Result_Margin].[All]" dimensionUniqueName="[Table1]" displayFolder="" count="0" memberValueDatatype="20" unbalanced="0"/>
    <cacheHierarchy uniqueName="[Table2].[Match_ID]" caption="Match_ID" attribute="1" defaultMemberUniqueName="[Table2].[Match_ID].[All]" allUniqueName="[Table2].[Match_ID].[All]" dimensionUniqueName="[Table2]" displayFolder="" count="0" memberValueDatatype="20" unbalanced="0"/>
    <cacheHierarchy uniqueName="[Table2].[Season]" caption="Season" attribute="1" defaultMemberUniqueName="[Table2].[Season].[All]" allUniqueName="[Table2].[Season].[All]" dimensionUniqueName="[Table2]" displayFolder="" count="0" memberValueDatatype="20" unbalanced="0"/>
    <cacheHierarchy uniqueName="[Table2].[Team]" caption="Team" attribute="1" defaultMemberUniqueName="[Table2].[Team].[All]" allUniqueName="[Table2].[Team].[All]" dimensionUniqueName="[Table2]" displayFolder="" count="2" memberValueDatatype="130" unbalanced="0">
      <fieldsUsage count="2">
        <fieldUsage x="-1"/>
        <fieldUsage x="2"/>
      </fieldsUsage>
    </cacheHierarchy>
    <cacheHierarchy uniqueName="[Table2].[Player]" caption="Player" attribute="1" defaultMemberUniqueName="[Table2].[Player].[All]" allUniqueName="[Table2].[Player].[All]" dimensionUniqueName="[Table2]" displayFolder="" count="0" memberValueDatatype="130" unbalanced="0"/>
    <cacheHierarchy uniqueName="[Table2].[Runs]" caption="Runs" attribute="1" defaultMemberUniqueName="[Table2].[Runs].[All]" allUniqueName="[Table2].[Runs].[All]" dimensionUniqueName="[Table2]" displayFolder="" count="0" memberValueDatatype="20" unbalanced="0"/>
    <cacheHierarchy uniqueName="[Table2].[Balls]" caption="Balls" attribute="1" defaultMemberUniqueName="[Table2].[Balls].[All]" allUniqueName="[Table2].[Balls].[All]" dimensionUniqueName="[Table2]" displayFolder="" count="0" memberValueDatatype="20" unbalanced="0"/>
    <cacheHierarchy uniqueName="[Table2].[4s]" caption="4s" attribute="1" defaultMemberUniqueName="[Table2].[4s].[All]" allUniqueName="[Table2].[4s].[All]" dimensionUniqueName="[Table2]" displayFolder="" count="0" memberValueDatatype="20" unbalanced="0"/>
    <cacheHierarchy uniqueName="[Table2].[6s]" caption="6s" attribute="1" defaultMemberUniqueName="[Table2].[6s].[All]" allUniqueName="[Table2].[6s].[All]" dimensionUniqueName="[Table2]" displayFolder="" count="0" memberValueDatatype="20" unbalanced="0"/>
    <cacheHierarchy uniqueName="[Table2].[Strike_Rate]" caption="Strike_Rate" attribute="1" defaultMemberUniqueName="[Table2].[Strike_Rate].[All]" allUniqueName="[Table2].[Strike_Rate].[All]" dimensionUniqueName="[Table2]" displayFolder="" count="0" memberValueDatatype="5" unbalanced="0"/>
    <cacheHierarchy uniqueName="[Table3].[Match_ID]" caption="Match_ID" attribute="1" defaultMemberUniqueName="[Table3].[Match_ID].[All]" allUniqueName="[Table3].[Match_ID].[All]" dimensionUniqueName="[Table3]" displayFolder="" count="0" memberValueDatatype="20" unbalanced="0"/>
    <cacheHierarchy uniqueName="[Table3].[Season]" caption="Season" attribute="1" defaultMemberUniqueName="[Table3].[Season].[All]" allUniqueName="[Table3].[Season].[All]" dimensionUniqueName="[Table3]" displayFolder="" count="0" memberValueDatatype="20" unbalanced="0"/>
    <cacheHierarchy uniqueName="[Table3].[Team]" caption="Team" attribute="1" defaultMemberUniqueName="[Table3].[Team].[All]" allUniqueName="[Table3].[Team].[All]" dimensionUniqueName="[Table3]" displayFolder="" count="0" memberValueDatatype="130" unbalanced="0"/>
    <cacheHierarchy uniqueName="[Table3].[Bowler]" caption="Bowler" attribute="1" defaultMemberUniqueName="[Table3].[Bowler].[All]" allUniqueName="[Table3].[Bowler].[All]" dimensionUniqueName="[Table3]" displayFolder="" count="0" memberValueDatatype="130" unbalanced="0"/>
    <cacheHierarchy uniqueName="[Table3].[Overs]" caption="Overs" attribute="1" defaultMemberUniqueName="[Table3].[Overs].[All]" allUniqueName="[Table3].[Overs].[All]" dimensionUniqueName="[Table3]" displayFolder="" count="0" memberValueDatatype="20" unbalanced="0"/>
    <cacheHierarchy uniqueName="[Table3].[Runs_Conceded]" caption="Runs_Conceded" attribute="1" defaultMemberUniqueName="[Table3].[Runs_Conceded].[All]" allUniqueName="[Table3].[Runs_Conceded].[All]" dimensionUniqueName="[Table3]" displayFolder="" count="0" memberValueDatatype="20" unbalanced="0"/>
    <cacheHierarchy uniqueName="[Table3].[Wickets]" caption="Wickets" attribute="1" defaultMemberUniqueName="[Table3].[Wickets].[All]" allUniqueName="[Table3].[Wickets].[All]" dimensionUniqueName="[Table3]" displayFolder="" count="0" memberValueDatatype="20" unbalanced="0"/>
    <cacheHierarchy uniqueName="[Table3].[Economy]" caption="Economy" attribute="1" defaultMemberUniqueName="[Table3].[Economy].[All]" allUniqueName="[Table3].[Economy].[All]" dimensionUniqueName="[Table3]" displayFolder="" count="0" memberValueDatatype="5" unbalanced="0"/>
    <cacheHierarchy uniqueName="[Table4].[Winner]" caption="Winner" attribute="1" defaultMemberUniqueName="[Table4].[Winner].[All]" allUniqueName="[Table4].[Winner].[All]" dimensionUniqueName="[Table4]" displayFolder="" count="0" memberValueDatatype="130" unbalanced="0"/>
    <cacheHierarchy uniqueName="[Table4].[Wins]" caption="Wins" attribute="1" defaultMemberUniqueName="[Table4].[Wins].[All]" allUniqueName="[Table4].[Wins].[All]" dimensionUniqueName="[Table4]" displayFolder="" count="0" memberValueDatatype="2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uns]" caption="Sum of Runs" measure="1" displayFolder="" measureGroup="Table2" count="0" hidden="1">
      <extLst>
        <ext xmlns:x15="http://schemas.microsoft.com/office/spreadsheetml/2010/11/main" uri="{B97F6D7D-B522-45F9-BDA1-12C45D357490}">
          <x15:cacheHierarchy aggregatedColumn="16"/>
        </ext>
      </extLst>
    </cacheHierarchy>
    <cacheHierarchy uniqueName="[Measures].[Count of Runs]" caption="Count of Runs" measure="1" displayFolder="" measureGroup="Table2" count="0" hidden="1">
      <extLst>
        <ext xmlns:x15="http://schemas.microsoft.com/office/spreadsheetml/2010/11/main" uri="{B97F6D7D-B522-45F9-BDA1-12C45D357490}">
          <x15:cacheHierarchy aggregatedColumn="16"/>
        </ext>
      </extLst>
    </cacheHierarchy>
    <cacheHierarchy uniqueName="[Measures].[Sum of 4s]" caption="Sum of 4s" measure="1" displayFolder="" measureGroup="Table2" count="0" hidden="1">
      <extLst>
        <ext xmlns:x15="http://schemas.microsoft.com/office/spreadsheetml/2010/11/main" uri="{B97F6D7D-B522-45F9-BDA1-12C45D357490}">
          <x15:cacheHierarchy aggregatedColumn="18"/>
        </ext>
      </extLst>
    </cacheHierarchy>
    <cacheHierarchy uniqueName="[Measures].[Sum of 6s]" caption="Sum of 6s" measure="1" displayFolder="" measureGroup="Table2" count="0" hidden="1">
      <extLst>
        <ext xmlns:x15="http://schemas.microsoft.com/office/spreadsheetml/2010/11/main" uri="{B97F6D7D-B522-45F9-BDA1-12C45D357490}">
          <x15:cacheHierarchy aggregatedColumn="19"/>
        </ext>
      </extLst>
    </cacheHierarchy>
    <cacheHierarchy uniqueName="[Measures].[Sum of Wickets]" caption="Sum of Wickets" measure="1" displayFolder="" measureGroup="Table3"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Wins]" caption="Sum of Wins" measure="1" displayFolder="" measureGroup="Table4" count="0" hidden="1">
      <extLst>
        <ext xmlns:x15="http://schemas.microsoft.com/office/spreadsheetml/2010/11/main" uri="{B97F6D7D-B522-45F9-BDA1-12C45D357490}">
          <x15:cacheHierarchy aggregatedColumn="30"/>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0"/>
        </ext>
      </extLst>
    </cacheHierarchy>
    <cacheHierarchy uniqueName="[Measures].[StdDev of Wins]" caption="StdDev of Wins" measure="1" displayFolder="" measureGroup="Table4" count="0" hidden="1">
      <extLst>
        <ext xmlns:x15="http://schemas.microsoft.com/office/spreadsheetml/2010/11/main" uri="{B97F6D7D-B522-45F9-BDA1-12C45D357490}">
          <x15:cacheHierarchy aggregatedColumn="30"/>
        </ext>
      </extLst>
    </cacheHierarchy>
    <cacheHierarchy uniqueName="[Measures].[Sum of Match_ID]" caption="Sum of Match_ID" measure="1" displayFolder="" measureGroup="Table1" count="0" hidden="1">
      <extLst>
        <ext xmlns:x15="http://schemas.microsoft.com/office/spreadsheetml/2010/11/main" uri="{B97F6D7D-B522-45F9-BDA1-12C45D357490}">
          <x15:cacheHierarchy aggregatedColumn="0"/>
        </ext>
      </extLst>
    </cacheHierarchy>
    <cacheHierarchy uniqueName="[Measures].[Average of Match_ID]" caption="Average of Match_ID" measure="1" displayFolder="" measureGroup="Table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Table1" count="0" hidden="1">
      <extLst>
        <ext xmlns:x15="http://schemas.microsoft.com/office/spreadsheetml/2010/11/main" uri="{B97F6D7D-B522-45F9-BDA1-12C45D357490}">
          <x15:cacheHierarchy aggregatedColumn="0"/>
        </ext>
      </extLst>
    </cacheHierarchy>
    <cacheHierarchy uniqueName="[Measures].[Sum of Match_ID 2]" caption="Sum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Match_ID 2]" caption="Count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Wickets]" caption="Count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Table2" count="0" hidden="1">
      <extLst>
        <ext xmlns:x15="http://schemas.microsoft.com/office/spreadsheetml/2010/11/main" uri="{B97F6D7D-B522-45F9-BDA1-12C45D357490}">
          <x15:cacheHierarchy aggregatedColumn="14"/>
        </ext>
      </extLst>
    </cacheHierarchy>
    <cacheHierarchy uniqueName="[Measures].[Sum of Team]" caption="Sum of Team" measure="1" displayFolder="" measureGroup="Table2" count="0" hidden="1">
      <extLst>
        <ext xmlns:x15="http://schemas.microsoft.com/office/spreadsheetml/2010/11/main" uri="{B97F6D7D-B522-45F9-BDA1-12C45D357490}">
          <x15:cacheHierarchy aggregatedColumn="14"/>
        </ext>
      </extLst>
    </cacheHierarchy>
    <cacheHierarchy uniqueName="[Measures].[Average of Team]" caption="Average of Team" measure="1" displayFolder="" measureGroup="Table2" count="0" hidden="1">
      <extLst>
        <ext xmlns:x15="http://schemas.microsoft.com/office/spreadsheetml/2010/11/main" uri="{B97F6D7D-B522-45F9-BDA1-12C45D357490}">
          <x15:cacheHierarchy aggregatedColumn="14"/>
        </ext>
      </extLst>
    </cacheHierarchy>
    <cacheHierarchy uniqueName="[Measures].[Count of Team1]" caption="Count of Team1" measure="1" displayFolder="" measureGroup="Table1" count="0" hidden="1">
      <extLst>
        <ext xmlns:x15="http://schemas.microsoft.com/office/spreadsheetml/2010/11/main" uri="{B97F6D7D-B522-45F9-BDA1-12C45D357490}">
          <x15:cacheHierarchy aggregatedColumn="4"/>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9"/>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3"/>
        </ext>
      </extLst>
    </cacheHierarchy>
    <cacheHierarchy uniqueName="[Measures].[Count of Player]" caption="Count of Player" measure="1" displayFolder="" measureGroup="Table2" count="0" hidden="1">
      <extLst>
        <ext xmlns:x15="http://schemas.microsoft.com/office/spreadsheetml/2010/11/main" uri="{B97F6D7D-B522-45F9-BDA1-12C45D357490}">
          <x15:cacheHierarchy aggregatedColumn="15"/>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370637152781" backgroundQuery="1" createdVersion="7" refreshedVersion="7" minRefreshableVersion="3" recordCount="0" supportSubquery="1" supportAdvancedDrill="1" xr:uid="{9BB092FF-F4AE-4A0F-A57B-6A8DCAA5765A}">
  <cacheSource type="external" connectionId="1"/>
  <cacheFields count="8">
    <cacheField name="[Table2].[Player].[Player]" caption="Player" numFmtId="0" hierarchy="15" level="1">
      <sharedItems count="10">
        <s v="Abhishek Sharma"/>
        <s v="Andre Russell"/>
        <s v="KL Rahul"/>
        <s v="Rohit Sharma"/>
        <s v="Ruturaj Gaikwad"/>
        <s v="Shubman Gill"/>
        <s v="Sunil Narine"/>
        <s v="Suryakumar Yadav"/>
        <s v="Travis Head"/>
        <s v="Virat Kohli"/>
      </sharedItems>
    </cacheField>
    <cacheField name="[Table3].[Bowler].[Bowler]" caption="Bowler" numFmtId="0" hierarchy="24" level="1">
      <sharedItems count="10">
        <s v="Matheesha Pathirana"/>
        <s v="Mohammed Shami"/>
        <s v="Mohammed Siraj"/>
        <s v="Pat Cummins"/>
        <s v="Rashid Khan"/>
        <s v="Ravindra Jadeja"/>
        <s v="Sunil Narine"/>
        <s v="T Natarajan"/>
        <s v="Varun Chakravarthy"/>
        <s v="Yuzvendra Chahal"/>
      </sharedItems>
    </cacheField>
    <cacheField name="[Table1].[Toss_Decision].[Toss_Decision]" caption="Toss_Decision" numFmtId="0" hierarchy="7" level="1">
      <sharedItems count="2">
        <s v="Bat"/>
        <s v="Field"/>
      </sharedItems>
    </cacheField>
    <cacheField name="[Table1].[Winner].[Winner]" caption="Winner" numFmtId="0" hierarchy="8" level="1">
      <sharedItems count="10">
        <s v="CSK"/>
        <s v="DC"/>
        <s v="GT"/>
        <s v="KKR"/>
        <s v="LSG"/>
        <s v="MI"/>
        <s v="PBKS"/>
        <s v="RCB"/>
        <s v="RR"/>
        <s v="SRH"/>
      </sharedItems>
    </cacheField>
    <cacheField name="[Measures].[Count of Match_ID]" caption="Count of Match_ID" numFmtId="0" hierarchy="46" level="32767"/>
    <cacheField name="[Table1].[Venue].[Venue]" caption="Venue" numFmtId="0" hierarchy="3" level="1">
      <sharedItems containsSemiMixedTypes="0" containsNonDate="0" containsString="0"/>
    </cacheField>
    <cacheField name="[Table2].[Team].[Team]" caption="Team" numFmtId="0" hierarchy="14" level="1">
      <sharedItems containsSemiMixedTypes="0" containsNonDate="0" containsString="0"/>
    </cacheField>
    <cacheField name="[Table1].[Season].[Season]" caption="Season" numFmtId="0" hierarchy="1" level="1">
      <sharedItems containsSemiMixedTypes="0" containsNonDate="0" containsString="0"/>
    </cacheField>
  </cacheFields>
  <cacheHierarchies count="59">
    <cacheHierarchy uniqueName="[Table1].[Match_ID]" caption="Match_ID" attribute="1" defaultMemberUniqueName="[Table1].[Match_ID].[All]" allUniqueName="[Table1].[Match_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7"/>
      </fieldsUsage>
    </cacheHierarchy>
    <cacheHierarchy uniqueName="[Table1].[Date]" caption="Date" attribute="1" defaultMemberUniqueName="[Table1].[Date].[All]" allUniqueName="[Table1].[Date].[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5"/>
      </fieldsUsage>
    </cacheHierarchy>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2" memberValueDatatype="130" unbalanced="0">
      <fieldsUsage count="2">
        <fieldUsage x="-1"/>
        <fieldUsage x="2"/>
      </fieldsUsage>
    </cacheHierarchy>
    <cacheHierarchy uniqueName="[Table1].[Winner]" caption="Winner" attribute="1" defaultMemberUniqueName="[Table1].[Winner].[All]" allUniqueName="[Table1].[Winner].[All]" dimensionUniqueName="[Table1]" displayFolder="" count="2" memberValueDatatype="130" unbalanced="0">
      <fieldsUsage count="2">
        <fieldUsage x="-1"/>
        <fieldUsage x="3"/>
      </fieldsUsage>
    </cacheHierarchy>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Result_Margin]" caption="Result_Margin" attribute="1" defaultMemberUniqueName="[Table1].[Result_Margin].[All]" allUniqueName="[Table1].[Result_Margin].[All]" dimensionUniqueName="[Table1]" displayFolder="" count="0" memberValueDatatype="20" unbalanced="0"/>
    <cacheHierarchy uniqueName="[Table2].[Match_ID]" caption="Match_ID" attribute="1" defaultMemberUniqueName="[Table2].[Match_ID].[All]" allUniqueName="[Table2].[Match_ID].[All]" dimensionUniqueName="[Table2]" displayFolder="" count="0" memberValueDatatype="20" unbalanced="0"/>
    <cacheHierarchy uniqueName="[Table2].[Season]" caption="Season" attribute="1" defaultMemberUniqueName="[Table2].[Season].[All]" allUniqueName="[Table2].[Season].[All]" dimensionUniqueName="[Table2]" displayFolder="" count="0" memberValueDatatype="20" unbalanced="0"/>
    <cacheHierarchy uniqueName="[Table2].[Team]" caption="Team" attribute="1" defaultMemberUniqueName="[Table2].[Team].[All]" allUniqueName="[Table2].[Team].[All]" dimensionUniqueName="[Table2]" displayFolder="" count="2" memberValueDatatype="130" unbalanced="0">
      <fieldsUsage count="2">
        <fieldUsage x="-1"/>
        <fieldUsage x="6"/>
      </fieldsUsage>
    </cacheHierarchy>
    <cacheHierarchy uniqueName="[Table2].[Player]" caption="Player" attribute="1" defaultMemberUniqueName="[Table2].[Player].[All]" allUniqueName="[Table2].[Player].[All]" dimensionUniqueName="[Table2]" displayFolder="" count="2" memberValueDatatype="130" unbalanced="0">
      <fieldsUsage count="2">
        <fieldUsage x="-1"/>
        <fieldUsage x="0"/>
      </fieldsUsage>
    </cacheHierarchy>
    <cacheHierarchy uniqueName="[Table2].[Runs]" caption="Runs" attribute="1" defaultMemberUniqueName="[Table2].[Runs].[All]" allUniqueName="[Table2].[Runs].[All]" dimensionUniqueName="[Table2]" displayFolder="" count="0" memberValueDatatype="20" unbalanced="0"/>
    <cacheHierarchy uniqueName="[Table2].[Balls]" caption="Balls" attribute="1" defaultMemberUniqueName="[Table2].[Balls].[All]" allUniqueName="[Table2].[Balls].[All]" dimensionUniqueName="[Table2]" displayFolder="" count="0" memberValueDatatype="20" unbalanced="0"/>
    <cacheHierarchy uniqueName="[Table2].[4s]" caption="4s" attribute="1" defaultMemberUniqueName="[Table2].[4s].[All]" allUniqueName="[Table2].[4s].[All]" dimensionUniqueName="[Table2]" displayFolder="" count="0" memberValueDatatype="20" unbalanced="0"/>
    <cacheHierarchy uniqueName="[Table2].[6s]" caption="6s" attribute="1" defaultMemberUniqueName="[Table2].[6s].[All]" allUniqueName="[Table2].[6s].[All]" dimensionUniqueName="[Table2]" displayFolder="" count="0" memberValueDatatype="20" unbalanced="0"/>
    <cacheHierarchy uniqueName="[Table2].[Strike_Rate]" caption="Strike_Rate" attribute="1" defaultMemberUniqueName="[Table2].[Strike_Rate].[All]" allUniqueName="[Table2].[Strike_Rate].[All]" dimensionUniqueName="[Table2]" displayFolder="" count="0" memberValueDatatype="5" unbalanced="0"/>
    <cacheHierarchy uniqueName="[Table3].[Match_ID]" caption="Match_ID" attribute="1" defaultMemberUniqueName="[Table3].[Match_ID].[All]" allUniqueName="[Table3].[Match_ID].[All]" dimensionUniqueName="[Table3]" displayFolder="" count="0" memberValueDatatype="20" unbalanced="0"/>
    <cacheHierarchy uniqueName="[Table3].[Season]" caption="Season" attribute="1" defaultMemberUniqueName="[Table3].[Season].[All]" allUniqueName="[Table3].[Season].[All]" dimensionUniqueName="[Table3]" displayFolder="" count="0" memberValueDatatype="20" unbalanced="0"/>
    <cacheHierarchy uniqueName="[Table3].[Team]" caption="Team" attribute="1" defaultMemberUniqueName="[Table3].[Team].[All]" allUniqueName="[Table3].[Team].[All]" dimensionUniqueName="[Table3]" displayFolder="" count="0" memberValueDatatype="130" unbalanced="0"/>
    <cacheHierarchy uniqueName="[Table3].[Bowler]" caption="Bowler" attribute="1" defaultMemberUniqueName="[Table3].[Bowler].[All]" allUniqueName="[Table3].[Bowler].[All]" dimensionUniqueName="[Table3]" displayFolder="" count="2" memberValueDatatype="130" unbalanced="0">
      <fieldsUsage count="2">
        <fieldUsage x="-1"/>
        <fieldUsage x="1"/>
      </fieldsUsage>
    </cacheHierarchy>
    <cacheHierarchy uniqueName="[Table3].[Overs]" caption="Overs" attribute="1" defaultMemberUniqueName="[Table3].[Overs].[All]" allUniqueName="[Table3].[Overs].[All]" dimensionUniqueName="[Table3]" displayFolder="" count="0" memberValueDatatype="20" unbalanced="0"/>
    <cacheHierarchy uniqueName="[Table3].[Runs_Conceded]" caption="Runs_Conceded" attribute="1" defaultMemberUniqueName="[Table3].[Runs_Conceded].[All]" allUniqueName="[Table3].[Runs_Conceded].[All]" dimensionUniqueName="[Table3]" displayFolder="" count="0" memberValueDatatype="20" unbalanced="0"/>
    <cacheHierarchy uniqueName="[Table3].[Wickets]" caption="Wickets" attribute="1" defaultMemberUniqueName="[Table3].[Wickets].[All]" allUniqueName="[Table3].[Wickets].[All]" dimensionUniqueName="[Table3]" displayFolder="" count="0" memberValueDatatype="20" unbalanced="0"/>
    <cacheHierarchy uniqueName="[Table3].[Economy]" caption="Economy" attribute="1" defaultMemberUniqueName="[Table3].[Economy].[All]" allUniqueName="[Table3].[Economy].[All]" dimensionUniqueName="[Table3]" displayFolder="" count="0" memberValueDatatype="5" unbalanced="0"/>
    <cacheHierarchy uniqueName="[Table4].[Winner]" caption="Winner" attribute="1" defaultMemberUniqueName="[Table4].[Winner].[All]" allUniqueName="[Table4].[Winner].[All]" dimensionUniqueName="[Table4]" displayFolder="" count="0" memberValueDatatype="130" unbalanced="0"/>
    <cacheHierarchy uniqueName="[Table4].[Wins]" caption="Wins" attribute="1" defaultMemberUniqueName="[Table4].[Wins].[All]" allUniqueName="[Table4].[Wins].[All]" dimensionUniqueName="[Table4]" displayFolder="" count="0" memberValueDatatype="2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uns]" caption="Sum of Runs" measure="1" displayFolder="" measureGroup="Table2" count="0" hidden="1">
      <extLst>
        <ext xmlns:x15="http://schemas.microsoft.com/office/spreadsheetml/2010/11/main" uri="{B97F6D7D-B522-45F9-BDA1-12C45D357490}">
          <x15:cacheHierarchy aggregatedColumn="16"/>
        </ext>
      </extLst>
    </cacheHierarchy>
    <cacheHierarchy uniqueName="[Measures].[Count of Runs]" caption="Count of Runs" measure="1" displayFolder="" measureGroup="Table2" count="0" hidden="1">
      <extLst>
        <ext xmlns:x15="http://schemas.microsoft.com/office/spreadsheetml/2010/11/main" uri="{B97F6D7D-B522-45F9-BDA1-12C45D357490}">
          <x15:cacheHierarchy aggregatedColumn="16"/>
        </ext>
      </extLst>
    </cacheHierarchy>
    <cacheHierarchy uniqueName="[Measures].[Sum of 4s]" caption="Sum of 4s" measure="1" displayFolder="" measureGroup="Table2" count="0" hidden="1">
      <extLst>
        <ext xmlns:x15="http://schemas.microsoft.com/office/spreadsheetml/2010/11/main" uri="{B97F6D7D-B522-45F9-BDA1-12C45D357490}">
          <x15:cacheHierarchy aggregatedColumn="18"/>
        </ext>
      </extLst>
    </cacheHierarchy>
    <cacheHierarchy uniqueName="[Measures].[Sum of 6s]" caption="Sum of 6s" measure="1" displayFolder="" measureGroup="Table2" count="0" hidden="1">
      <extLst>
        <ext xmlns:x15="http://schemas.microsoft.com/office/spreadsheetml/2010/11/main" uri="{B97F6D7D-B522-45F9-BDA1-12C45D357490}">
          <x15:cacheHierarchy aggregatedColumn="19"/>
        </ext>
      </extLst>
    </cacheHierarchy>
    <cacheHierarchy uniqueName="[Measures].[Sum of Wickets]" caption="Sum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Wins]" caption="Sum of Wins" measure="1" displayFolder="" measureGroup="Table4" count="0" hidden="1">
      <extLst>
        <ext xmlns:x15="http://schemas.microsoft.com/office/spreadsheetml/2010/11/main" uri="{B97F6D7D-B522-45F9-BDA1-12C45D357490}">
          <x15:cacheHierarchy aggregatedColumn="30"/>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0"/>
        </ext>
      </extLst>
    </cacheHierarchy>
    <cacheHierarchy uniqueName="[Measures].[StdDev of Wins]" caption="StdDev of Wins" measure="1" displayFolder="" measureGroup="Table4" count="0" hidden="1">
      <extLst>
        <ext xmlns:x15="http://schemas.microsoft.com/office/spreadsheetml/2010/11/main" uri="{B97F6D7D-B522-45F9-BDA1-12C45D357490}">
          <x15:cacheHierarchy aggregatedColumn="30"/>
        </ext>
      </extLst>
    </cacheHierarchy>
    <cacheHierarchy uniqueName="[Measures].[Sum of Match_ID]" caption="Sum of Match_ID" measure="1" displayFolder="" measureGroup="Table1" count="0" hidden="1">
      <extLst>
        <ext xmlns:x15="http://schemas.microsoft.com/office/spreadsheetml/2010/11/main" uri="{B97F6D7D-B522-45F9-BDA1-12C45D357490}">
          <x15:cacheHierarchy aggregatedColumn="0"/>
        </ext>
      </extLst>
    </cacheHierarchy>
    <cacheHierarchy uniqueName="[Measures].[Average of Match_ID]" caption="Average of Match_ID" measure="1" displayFolder="" measureGroup="Table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Table1"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Match_ID 2]" caption="Sum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Match_ID 2]" caption="Count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Wickets]" caption="Count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Table2" count="0" hidden="1">
      <extLst>
        <ext xmlns:x15="http://schemas.microsoft.com/office/spreadsheetml/2010/11/main" uri="{B97F6D7D-B522-45F9-BDA1-12C45D357490}">
          <x15:cacheHierarchy aggregatedColumn="14"/>
        </ext>
      </extLst>
    </cacheHierarchy>
    <cacheHierarchy uniqueName="[Measures].[Sum of Team]" caption="Sum of Team" measure="1" displayFolder="" measureGroup="Table2" count="0" hidden="1">
      <extLst>
        <ext xmlns:x15="http://schemas.microsoft.com/office/spreadsheetml/2010/11/main" uri="{B97F6D7D-B522-45F9-BDA1-12C45D357490}">
          <x15:cacheHierarchy aggregatedColumn="14"/>
        </ext>
      </extLst>
    </cacheHierarchy>
    <cacheHierarchy uniqueName="[Measures].[Average of Team]" caption="Average of Team" measure="1" displayFolder="" measureGroup="Table2" count="0" hidden="1">
      <extLst>
        <ext xmlns:x15="http://schemas.microsoft.com/office/spreadsheetml/2010/11/main" uri="{B97F6D7D-B522-45F9-BDA1-12C45D357490}">
          <x15:cacheHierarchy aggregatedColumn="14"/>
        </ext>
      </extLst>
    </cacheHierarchy>
    <cacheHierarchy uniqueName="[Measures].[Count of Team1]" caption="Count of Team1" measure="1" displayFolder="" measureGroup="Table1" count="0" hidden="1">
      <extLst>
        <ext xmlns:x15="http://schemas.microsoft.com/office/spreadsheetml/2010/11/main" uri="{B97F6D7D-B522-45F9-BDA1-12C45D357490}">
          <x15:cacheHierarchy aggregatedColumn="4"/>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9"/>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3"/>
        </ext>
      </extLst>
    </cacheHierarchy>
    <cacheHierarchy uniqueName="[Measures].[Count of Player]" caption="Count of Player" measure="1" displayFolder="" measureGroup="Table2" count="0" hidden="1">
      <extLst>
        <ext xmlns:x15="http://schemas.microsoft.com/office/spreadsheetml/2010/11/main" uri="{B97F6D7D-B522-45F9-BDA1-12C45D357490}">
          <x15:cacheHierarchy aggregatedColumn="15"/>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370637962966" backgroundQuery="1" createdVersion="7" refreshedVersion="7" minRefreshableVersion="3" recordCount="0" supportSubquery="1" supportAdvancedDrill="1" xr:uid="{444EBA9E-47A4-4133-9262-BBA266D1CDE8}">
  <cacheSource type="external" connectionId="1"/>
  <cacheFields count="6">
    <cacheField name="[Table2].[Player].[Player]" caption="Player" numFmtId="0" hierarchy="15" level="1">
      <sharedItems count="10">
        <s v="Abhishek Sharma"/>
        <s v="Andre Russell"/>
        <s v="KL Rahul"/>
        <s v="Rohit Sharma"/>
        <s v="Ruturaj Gaikwad"/>
        <s v="Shubman Gill"/>
        <s v="Sunil Narine"/>
        <s v="Suryakumar Yadav"/>
        <s v="Travis Head"/>
        <s v="Virat Kohli"/>
      </sharedItems>
    </cacheField>
    <cacheField name="[Table3].[Bowler].[Bowler]" caption="Bowler" numFmtId="0" hierarchy="24" level="1">
      <sharedItems count="10">
        <s v="Matheesha Pathirana"/>
        <s v="Mohammed Shami"/>
        <s v="Mohammed Siraj"/>
        <s v="Pat Cummins"/>
        <s v="Rashid Khan"/>
        <s v="Ravindra Jadeja"/>
        <s v="Sunil Narine"/>
        <s v="T Natarajan"/>
        <s v="Varun Chakravarthy"/>
        <s v="Yuzvendra Chahal"/>
      </sharedItems>
    </cacheField>
    <cacheField name="[Table1].[Toss_Decision].[Toss_Decision]" caption="Toss_Decision" numFmtId="0" hierarchy="7" level="1">
      <sharedItems count="2">
        <s v="Bat"/>
        <s v="Field"/>
      </sharedItems>
    </cacheField>
    <cacheField name="[Table1].[Venue].[Venue]" caption="Venue" numFmtId="0" hierarchy="3" level="1">
      <sharedItems containsSemiMixedTypes="0" containsNonDate="0" containsString="0"/>
    </cacheField>
    <cacheField name="[Table2].[Team].[Team]" caption="Team" numFmtId="0" hierarchy="14" level="1">
      <sharedItems containsSemiMixedTypes="0" containsNonDate="0" containsString="0"/>
    </cacheField>
    <cacheField name="[Table1].[Season].[Season]" caption="Season" numFmtId="0" hierarchy="1" level="1">
      <sharedItems containsSemiMixedTypes="0" containsNonDate="0" containsString="0"/>
    </cacheField>
  </cacheFields>
  <cacheHierarchies count="59">
    <cacheHierarchy uniqueName="[Table1].[Match_ID]" caption="Match_ID" attribute="1" defaultMemberUniqueName="[Table1].[Match_ID].[All]" allUniqueName="[Table1].[Match_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5"/>
      </fieldsUsage>
    </cacheHierarchy>
    <cacheHierarchy uniqueName="[Table1].[Date]" caption="Date" attribute="1" defaultMemberUniqueName="[Table1].[Date].[All]" allUniqueName="[Table1].[Date].[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3"/>
      </fieldsUsage>
    </cacheHierarchy>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2" memberValueDatatype="130" unbalanced="0">
      <fieldsUsage count="2">
        <fieldUsage x="-1"/>
        <fieldUsage x="2"/>
      </fieldsUsage>
    </cacheHierarchy>
    <cacheHierarchy uniqueName="[Table1].[Winner]" caption="Winner" attribute="1" defaultMemberUniqueName="[Table1].[Winner].[All]" allUniqueName="[Table1].[Winner].[All]" dimensionUniqueName="[Table1]" displayFolder="" count="0" memberValueDatatype="13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Result_Margin]" caption="Result_Margin" attribute="1" defaultMemberUniqueName="[Table1].[Result_Margin].[All]" allUniqueName="[Table1].[Result_Margin].[All]" dimensionUniqueName="[Table1]" displayFolder="" count="0" memberValueDatatype="20" unbalanced="0"/>
    <cacheHierarchy uniqueName="[Table2].[Match_ID]" caption="Match_ID" attribute="1" defaultMemberUniqueName="[Table2].[Match_ID].[All]" allUniqueName="[Table2].[Match_ID].[All]" dimensionUniqueName="[Table2]" displayFolder="" count="0" memberValueDatatype="20" unbalanced="0"/>
    <cacheHierarchy uniqueName="[Table2].[Season]" caption="Season" attribute="1" defaultMemberUniqueName="[Table2].[Season].[All]" allUniqueName="[Table2].[Season].[All]" dimensionUniqueName="[Table2]" displayFolder="" count="0" memberValueDatatype="20" unbalanced="0"/>
    <cacheHierarchy uniqueName="[Table2].[Team]" caption="Team" attribute="1" defaultMemberUniqueName="[Table2].[Team].[All]" allUniqueName="[Table2].[Team].[All]" dimensionUniqueName="[Table2]" displayFolder="" count="2" memberValueDatatype="130" unbalanced="0">
      <fieldsUsage count="2">
        <fieldUsage x="-1"/>
        <fieldUsage x="4"/>
      </fieldsUsage>
    </cacheHierarchy>
    <cacheHierarchy uniqueName="[Table2].[Player]" caption="Player" attribute="1" defaultMemberUniqueName="[Table2].[Player].[All]" allUniqueName="[Table2].[Player].[All]" dimensionUniqueName="[Table2]" displayFolder="" count="2" memberValueDatatype="130" unbalanced="0">
      <fieldsUsage count="2">
        <fieldUsage x="-1"/>
        <fieldUsage x="0"/>
      </fieldsUsage>
    </cacheHierarchy>
    <cacheHierarchy uniqueName="[Table2].[Runs]" caption="Runs" attribute="1" defaultMemberUniqueName="[Table2].[Runs].[All]" allUniqueName="[Table2].[Runs].[All]" dimensionUniqueName="[Table2]" displayFolder="" count="0" memberValueDatatype="20" unbalanced="0"/>
    <cacheHierarchy uniqueName="[Table2].[Balls]" caption="Balls" attribute="1" defaultMemberUniqueName="[Table2].[Balls].[All]" allUniqueName="[Table2].[Balls].[All]" dimensionUniqueName="[Table2]" displayFolder="" count="0" memberValueDatatype="20" unbalanced="0"/>
    <cacheHierarchy uniqueName="[Table2].[4s]" caption="4s" attribute="1" defaultMemberUniqueName="[Table2].[4s].[All]" allUniqueName="[Table2].[4s].[All]" dimensionUniqueName="[Table2]" displayFolder="" count="0" memberValueDatatype="20" unbalanced="0"/>
    <cacheHierarchy uniqueName="[Table2].[6s]" caption="6s" attribute="1" defaultMemberUniqueName="[Table2].[6s].[All]" allUniqueName="[Table2].[6s].[All]" dimensionUniqueName="[Table2]" displayFolder="" count="0" memberValueDatatype="20" unbalanced="0"/>
    <cacheHierarchy uniqueName="[Table2].[Strike_Rate]" caption="Strike_Rate" attribute="1" defaultMemberUniqueName="[Table2].[Strike_Rate].[All]" allUniqueName="[Table2].[Strike_Rate].[All]" dimensionUniqueName="[Table2]" displayFolder="" count="0" memberValueDatatype="5" unbalanced="0"/>
    <cacheHierarchy uniqueName="[Table3].[Match_ID]" caption="Match_ID" attribute="1" defaultMemberUniqueName="[Table3].[Match_ID].[All]" allUniqueName="[Table3].[Match_ID].[All]" dimensionUniqueName="[Table3]" displayFolder="" count="0" memberValueDatatype="20" unbalanced="0"/>
    <cacheHierarchy uniqueName="[Table3].[Season]" caption="Season" attribute="1" defaultMemberUniqueName="[Table3].[Season].[All]" allUniqueName="[Table3].[Season].[All]" dimensionUniqueName="[Table3]" displayFolder="" count="0" memberValueDatatype="20" unbalanced="0"/>
    <cacheHierarchy uniqueName="[Table3].[Team]" caption="Team" attribute="1" defaultMemberUniqueName="[Table3].[Team].[All]" allUniqueName="[Table3].[Team].[All]" dimensionUniqueName="[Table3]" displayFolder="" count="0" memberValueDatatype="130" unbalanced="0"/>
    <cacheHierarchy uniqueName="[Table3].[Bowler]" caption="Bowler" attribute="1" defaultMemberUniqueName="[Table3].[Bowler].[All]" allUniqueName="[Table3].[Bowler].[All]" dimensionUniqueName="[Table3]" displayFolder="" count="2" memberValueDatatype="130" unbalanced="0">
      <fieldsUsage count="2">
        <fieldUsage x="-1"/>
        <fieldUsage x="1"/>
      </fieldsUsage>
    </cacheHierarchy>
    <cacheHierarchy uniqueName="[Table3].[Overs]" caption="Overs" attribute="1" defaultMemberUniqueName="[Table3].[Overs].[All]" allUniqueName="[Table3].[Overs].[All]" dimensionUniqueName="[Table3]" displayFolder="" count="0" memberValueDatatype="20" unbalanced="0"/>
    <cacheHierarchy uniqueName="[Table3].[Runs_Conceded]" caption="Runs_Conceded" attribute="1" defaultMemberUniqueName="[Table3].[Runs_Conceded].[All]" allUniqueName="[Table3].[Runs_Conceded].[All]" dimensionUniqueName="[Table3]" displayFolder="" count="0" memberValueDatatype="20" unbalanced="0"/>
    <cacheHierarchy uniqueName="[Table3].[Wickets]" caption="Wickets" attribute="1" defaultMemberUniqueName="[Table3].[Wickets].[All]" allUniqueName="[Table3].[Wickets].[All]" dimensionUniqueName="[Table3]" displayFolder="" count="0" memberValueDatatype="20" unbalanced="0"/>
    <cacheHierarchy uniqueName="[Table3].[Economy]" caption="Economy" attribute="1" defaultMemberUniqueName="[Table3].[Economy].[All]" allUniqueName="[Table3].[Economy].[All]" dimensionUniqueName="[Table3]" displayFolder="" count="0" memberValueDatatype="5" unbalanced="0"/>
    <cacheHierarchy uniqueName="[Table4].[Winner]" caption="Winner" attribute="1" defaultMemberUniqueName="[Table4].[Winner].[All]" allUniqueName="[Table4].[Winner].[All]" dimensionUniqueName="[Table4]" displayFolder="" count="0" memberValueDatatype="130" unbalanced="0"/>
    <cacheHierarchy uniqueName="[Table4].[Wins]" caption="Wins" attribute="1" defaultMemberUniqueName="[Table4].[Wins].[All]" allUniqueName="[Table4].[Wins].[All]" dimensionUniqueName="[Table4]" displayFolder="" count="0" memberValueDatatype="2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uns]" caption="Sum of Runs" measure="1" displayFolder="" measureGroup="Table2" count="0" hidden="1">
      <extLst>
        <ext xmlns:x15="http://schemas.microsoft.com/office/spreadsheetml/2010/11/main" uri="{B97F6D7D-B522-45F9-BDA1-12C45D357490}">
          <x15:cacheHierarchy aggregatedColumn="16"/>
        </ext>
      </extLst>
    </cacheHierarchy>
    <cacheHierarchy uniqueName="[Measures].[Count of Runs]" caption="Count of Runs" measure="1" displayFolder="" measureGroup="Table2" count="0" hidden="1">
      <extLst>
        <ext xmlns:x15="http://schemas.microsoft.com/office/spreadsheetml/2010/11/main" uri="{B97F6D7D-B522-45F9-BDA1-12C45D357490}">
          <x15:cacheHierarchy aggregatedColumn="16"/>
        </ext>
      </extLst>
    </cacheHierarchy>
    <cacheHierarchy uniqueName="[Measures].[Sum of 4s]" caption="Sum of 4s" measure="1" displayFolder="" measureGroup="Table2" count="0" hidden="1">
      <extLst>
        <ext xmlns:x15="http://schemas.microsoft.com/office/spreadsheetml/2010/11/main" uri="{B97F6D7D-B522-45F9-BDA1-12C45D357490}">
          <x15:cacheHierarchy aggregatedColumn="18"/>
        </ext>
      </extLst>
    </cacheHierarchy>
    <cacheHierarchy uniqueName="[Measures].[Sum of 6s]" caption="Sum of 6s" measure="1" displayFolder="" measureGroup="Table2" count="0" hidden="1">
      <extLst>
        <ext xmlns:x15="http://schemas.microsoft.com/office/spreadsheetml/2010/11/main" uri="{B97F6D7D-B522-45F9-BDA1-12C45D357490}">
          <x15:cacheHierarchy aggregatedColumn="19"/>
        </ext>
      </extLst>
    </cacheHierarchy>
    <cacheHierarchy uniqueName="[Measures].[Sum of Wickets]" caption="Sum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Wins]" caption="Sum of Wins" measure="1" displayFolder="" measureGroup="Table4" count="0" hidden="1">
      <extLst>
        <ext xmlns:x15="http://schemas.microsoft.com/office/spreadsheetml/2010/11/main" uri="{B97F6D7D-B522-45F9-BDA1-12C45D357490}">
          <x15:cacheHierarchy aggregatedColumn="30"/>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0"/>
        </ext>
      </extLst>
    </cacheHierarchy>
    <cacheHierarchy uniqueName="[Measures].[StdDev of Wins]" caption="StdDev of Wins" measure="1" displayFolder="" measureGroup="Table4" count="0" hidden="1">
      <extLst>
        <ext xmlns:x15="http://schemas.microsoft.com/office/spreadsheetml/2010/11/main" uri="{B97F6D7D-B522-45F9-BDA1-12C45D357490}">
          <x15:cacheHierarchy aggregatedColumn="30"/>
        </ext>
      </extLst>
    </cacheHierarchy>
    <cacheHierarchy uniqueName="[Measures].[Sum of Match_ID]" caption="Sum of Match_ID" measure="1" displayFolder="" measureGroup="Table1" count="0" hidden="1">
      <extLst>
        <ext xmlns:x15="http://schemas.microsoft.com/office/spreadsheetml/2010/11/main" uri="{B97F6D7D-B522-45F9-BDA1-12C45D357490}">
          <x15:cacheHierarchy aggregatedColumn="0"/>
        </ext>
      </extLst>
    </cacheHierarchy>
    <cacheHierarchy uniqueName="[Measures].[Average of Match_ID]" caption="Average of Match_ID" measure="1" displayFolder="" measureGroup="Table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Table1" count="0" hidden="1">
      <extLst>
        <ext xmlns:x15="http://schemas.microsoft.com/office/spreadsheetml/2010/11/main" uri="{B97F6D7D-B522-45F9-BDA1-12C45D357490}">
          <x15:cacheHierarchy aggregatedColumn="0"/>
        </ext>
      </extLst>
    </cacheHierarchy>
    <cacheHierarchy uniqueName="[Measures].[Sum of Match_ID 2]" caption="Sum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Match_ID 2]" caption="Count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Wickets]" caption="Count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Table2" count="0" hidden="1">
      <extLst>
        <ext xmlns:x15="http://schemas.microsoft.com/office/spreadsheetml/2010/11/main" uri="{B97F6D7D-B522-45F9-BDA1-12C45D357490}">
          <x15:cacheHierarchy aggregatedColumn="14"/>
        </ext>
      </extLst>
    </cacheHierarchy>
    <cacheHierarchy uniqueName="[Measures].[Sum of Team]" caption="Sum of Team" measure="1" displayFolder="" measureGroup="Table2" count="0" hidden="1">
      <extLst>
        <ext xmlns:x15="http://schemas.microsoft.com/office/spreadsheetml/2010/11/main" uri="{B97F6D7D-B522-45F9-BDA1-12C45D357490}">
          <x15:cacheHierarchy aggregatedColumn="14"/>
        </ext>
      </extLst>
    </cacheHierarchy>
    <cacheHierarchy uniqueName="[Measures].[Average of Team]" caption="Average of Team" measure="1" displayFolder="" measureGroup="Table2" count="0" hidden="1">
      <extLst>
        <ext xmlns:x15="http://schemas.microsoft.com/office/spreadsheetml/2010/11/main" uri="{B97F6D7D-B522-45F9-BDA1-12C45D357490}">
          <x15:cacheHierarchy aggregatedColumn="14"/>
        </ext>
      </extLst>
    </cacheHierarchy>
    <cacheHierarchy uniqueName="[Measures].[Count of Team1]" caption="Count of Team1" measure="1" displayFolder="" measureGroup="Table1" count="0" hidden="1">
      <extLst>
        <ext xmlns:x15="http://schemas.microsoft.com/office/spreadsheetml/2010/11/main" uri="{B97F6D7D-B522-45F9-BDA1-12C45D357490}">
          <x15:cacheHierarchy aggregatedColumn="4"/>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9"/>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3"/>
        </ext>
      </extLst>
    </cacheHierarchy>
    <cacheHierarchy uniqueName="[Measures].[Count of Player]" caption="Count of Player" measure="1" displayFolder="" measureGroup="Table2" count="0" hidden="1">
      <extLst>
        <ext xmlns:x15="http://schemas.microsoft.com/office/spreadsheetml/2010/11/main" uri="{B97F6D7D-B522-45F9-BDA1-12C45D357490}">
          <x15:cacheHierarchy aggregatedColumn="15"/>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370635995372" backgroundQuery="1" createdVersion="7" refreshedVersion="7" minRefreshableVersion="3" recordCount="0" supportSubquery="1" supportAdvancedDrill="1" xr:uid="{A3E7A9A1-87B7-45CB-B6BA-6B92243A7B12}">
  <cacheSource type="external" connectionId="1"/>
  <cacheFields count="6">
    <cacheField name="[Table2].[Player].[Player]" caption="Player" numFmtId="0" hierarchy="15" level="1">
      <sharedItems count="10">
        <s v="Abhishek Sharma"/>
        <s v="Andre Russell"/>
        <s v="KL Rahul"/>
        <s v="Rohit Sharma"/>
        <s v="Ruturaj Gaikwad"/>
        <s v="Shubman Gill"/>
        <s v="Sunil Narine"/>
        <s v="Suryakumar Yadav"/>
        <s v="Travis Head"/>
        <s v="Virat Kohli"/>
      </sharedItems>
    </cacheField>
    <cacheField name="[Table3].[Bowler].[Bowler]" caption="Bowler" numFmtId="0" hierarchy="24" level="1">
      <sharedItems count="10">
        <s v="Matheesha Pathirana"/>
        <s v="Mohammed Shami"/>
        <s v="Mohammed Siraj"/>
        <s v="Pat Cummins"/>
        <s v="Rashid Khan"/>
        <s v="Ravindra Jadeja"/>
        <s v="Sunil Narine"/>
        <s v="T Natarajan"/>
        <s v="Varun Chakravarthy"/>
        <s v="Yuzvendra Chahal"/>
      </sharedItems>
    </cacheField>
    <cacheField name="[Table1].[Season].[Season]" caption="Season" numFmtId="0" hierarchy="1"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Table1].[Season].&amp;[2021]"/>
            <x15:cachedUniqueName index="1" name="[Table1].[Season].&amp;[2022]"/>
            <x15:cachedUniqueName index="2" name="[Table1].[Season].&amp;[2023]"/>
            <x15:cachedUniqueName index="3" name="[Table1].[Season].&amp;[2024]"/>
            <x15:cachedUniqueName index="4" name="[Table1].[Season].&amp;[2025]"/>
          </x15:cachedUniqueNames>
        </ext>
      </extLst>
    </cacheField>
    <cacheField name="[Measures].[Count of Match_ID]" caption="Count of Match_ID" numFmtId="0" hierarchy="46" level="32767"/>
    <cacheField name="[Table1].[Venue].[Venue]" caption="Venue" numFmtId="0" hierarchy="3" level="1">
      <sharedItems containsSemiMixedTypes="0" containsNonDate="0" containsString="0"/>
    </cacheField>
    <cacheField name="[Table2].[Team].[Team]" caption="Team" numFmtId="0" hierarchy="14" level="1">
      <sharedItems containsSemiMixedTypes="0" containsNonDate="0" containsString="0"/>
    </cacheField>
  </cacheFields>
  <cacheHierarchies count="59">
    <cacheHierarchy uniqueName="[Table1].[Match_ID]" caption="Match_ID" attribute="1" defaultMemberUniqueName="[Table1].[Match_ID].[All]" allUniqueName="[Table1].[Match_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2"/>
      </fieldsUsage>
    </cacheHierarchy>
    <cacheHierarchy uniqueName="[Table1].[Date]" caption="Date" attribute="1" defaultMemberUniqueName="[Table1].[Date].[All]" allUniqueName="[Table1].[Date].[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4"/>
      </fieldsUsage>
    </cacheHierarchy>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Result_Margin]" caption="Result_Margin" attribute="1" defaultMemberUniqueName="[Table1].[Result_Margin].[All]" allUniqueName="[Table1].[Result_Margin].[All]" dimensionUniqueName="[Table1]" displayFolder="" count="0" memberValueDatatype="20" unbalanced="0"/>
    <cacheHierarchy uniqueName="[Table2].[Match_ID]" caption="Match_ID" attribute="1" defaultMemberUniqueName="[Table2].[Match_ID].[All]" allUniqueName="[Table2].[Match_ID].[All]" dimensionUniqueName="[Table2]" displayFolder="" count="0" memberValueDatatype="20" unbalanced="0"/>
    <cacheHierarchy uniqueName="[Table2].[Season]" caption="Season" attribute="1" defaultMemberUniqueName="[Table2].[Season].[All]" allUniqueName="[Table2].[Season].[All]" dimensionUniqueName="[Table2]" displayFolder="" count="0" memberValueDatatype="20" unbalanced="0"/>
    <cacheHierarchy uniqueName="[Table2].[Team]" caption="Team" attribute="1" defaultMemberUniqueName="[Table2].[Team].[All]" allUniqueName="[Table2].[Team].[All]" dimensionUniqueName="[Table2]" displayFolder="" count="2" memberValueDatatype="130" unbalanced="0">
      <fieldsUsage count="2">
        <fieldUsage x="-1"/>
        <fieldUsage x="5"/>
      </fieldsUsage>
    </cacheHierarchy>
    <cacheHierarchy uniqueName="[Table2].[Player]" caption="Player" attribute="1" defaultMemberUniqueName="[Table2].[Player].[All]" allUniqueName="[Table2].[Player].[All]" dimensionUniqueName="[Table2]" displayFolder="" count="2" memberValueDatatype="130" unbalanced="0">
      <fieldsUsage count="2">
        <fieldUsage x="-1"/>
        <fieldUsage x="0"/>
      </fieldsUsage>
    </cacheHierarchy>
    <cacheHierarchy uniqueName="[Table2].[Runs]" caption="Runs" attribute="1" defaultMemberUniqueName="[Table2].[Runs].[All]" allUniqueName="[Table2].[Runs].[All]" dimensionUniqueName="[Table2]" displayFolder="" count="0" memberValueDatatype="20" unbalanced="0"/>
    <cacheHierarchy uniqueName="[Table2].[Balls]" caption="Balls" attribute="1" defaultMemberUniqueName="[Table2].[Balls].[All]" allUniqueName="[Table2].[Balls].[All]" dimensionUniqueName="[Table2]" displayFolder="" count="0" memberValueDatatype="20" unbalanced="0"/>
    <cacheHierarchy uniqueName="[Table2].[4s]" caption="4s" attribute="1" defaultMemberUniqueName="[Table2].[4s].[All]" allUniqueName="[Table2].[4s].[All]" dimensionUniqueName="[Table2]" displayFolder="" count="0" memberValueDatatype="20" unbalanced="0"/>
    <cacheHierarchy uniqueName="[Table2].[6s]" caption="6s" attribute="1" defaultMemberUniqueName="[Table2].[6s].[All]" allUniqueName="[Table2].[6s].[All]" dimensionUniqueName="[Table2]" displayFolder="" count="0" memberValueDatatype="20" unbalanced="0"/>
    <cacheHierarchy uniqueName="[Table2].[Strike_Rate]" caption="Strike_Rate" attribute="1" defaultMemberUniqueName="[Table2].[Strike_Rate].[All]" allUniqueName="[Table2].[Strike_Rate].[All]" dimensionUniqueName="[Table2]" displayFolder="" count="0" memberValueDatatype="5" unbalanced="0"/>
    <cacheHierarchy uniqueName="[Table3].[Match_ID]" caption="Match_ID" attribute="1" defaultMemberUniqueName="[Table3].[Match_ID].[All]" allUniqueName="[Table3].[Match_ID].[All]" dimensionUniqueName="[Table3]" displayFolder="" count="0" memberValueDatatype="20" unbalanced="0"/>
    <cacheHierarchy uniqueName="[Table3].[Season]" caption="Season" attribute="1" defaultMemberUniqueName="[Table3].[Season].[All]" allUniqueName="[Table3].[Season].[All]" dimensionUniqueName="[Table3]" displayFolder="" count="0" memberValueDatatype="20" unbalanced="0"/>
    <cacheHierarchy uniqueName="[Table3].[Team]" caption="Team" attribute="1" defaultMemberUniqueName="[Table3].[Team].[All]" allUniqueName="[Table3].[Team].[All]" dimensionUniqueName="[Table3]" displayFolder="" count="0" memberValueDatatype="130" unbalanced="0"/>
    <cacheHierarchy uniqueName="[Table3].[Bowler]" caption="Bowler" attribute="1" defaultMemberUniqueName="[Table3].[Bowler].[All]" allUniqueName="[Table3].[Bowler].[All]" dimensionUniqueName="[Table3]" displayFolder="" count="2" memberValueDatatype="130" unbalanced="0">
      <fieldsUsage count="2">
        <fieldUsage x="-1"/>
        <fieldUsage x="1"/>
      </fieldsUsage>
    </cacheHierarchy>
    <cacheHierarchy uniqueName="[Table3].[Overs]" caption="Overs" attribute="1" defaultMemberUniqueName="[Table3].[Overs].[All]" allUniqueName="[Table3].[Overs].[All]" dimensionUniqueName="[Table3]" displayFolder="" count="0" memberValueDatatype="20" unbalanced="0"/>
    <cacheHierarchy uniqueName="[Table3].[Runs_Conceded]" caption="Runs_Conceded" attribute="1" defaultMemberUniqueName="[Table3].[Runs_Conceded].[All]" allUniqueName="[Table3].[Runs_Conceded].[All]" dimensionUniqueName="[Table3]" displayFolder="" count="0" memberValueDatatype="20" unbalanced="0"/>
    <cacheHierarchy uniqueName="[Table3].[Wickets]" caption="Wickets" attribute="1" defaultMemberUniqueName="[Table3].[Wickets].[All]" allUniqueName="[Table3].[Wickets].[All]" dimensionUniqueName="[Table3]" displayFolder="" count="0" memberValueDatatype="20" unbalanced="0"/>
    <cacheHierarchy uniqueName="[Table3].[Economy]" caption="Economy" attribute="1" defaultMemberUniqueName="[Table3].[Economy].[All]" allUniqueName="[Table3].[Economy].[All]" dimensionUniqueName="[Table3]" displayFolder="" count="0" memberValueDatatype="5" unbalanced="0"/>
    <cacheHierarchy uniqueName="[Table4].[Winner]" caption="Winner" attribute="1" defaultMemberUniqueName="[Table4].[Winner].[All]" allUniqueName="[Table4].[Winner].[All]" dimensionUniqueName="[Table4]" displayFolder="" count="0" memberValueDatatype="130" unbalanced="0"/>
    <cacheHierarchy uniqueName="[Table4].[Wins]" caption="Wins" attribute="1" defaultMemberUniqueName="[Table4].[Wins].[All]" allUniqueName="[Table4].[Wins].[All]" dimensionUniqueName="[Table4]" displayFolder="" count="0" memberValueDatatype="2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uns]" caption="Sum of Runs" measure="1" displayFolder="" measureGroup="Table2" count="0" hidden="1">
      <extLst>
        <ext xmlns:x15="http://schemas.microsoft.com/office/spreadsheetml/2010/11/main" uri="{B97F6D7D-B522-45F9-BDA1-12C45D357490}">
          <x15:cacheHierarchy aggregatedColumn="16"/>
        </ext>
      </extLst>
    </cacheHierarchy>
    <cacheHierarchy uniqueName="[Measures].[Count of Runs]" caption="Count of Runs" measure="1" displayFolder="" measureGroup="Table2" count="0" hidden="1">
      <extLst>
        <ext xmlns:x15="http://schemas.microsoft.com/office/spreadsheetml/2010/11/main" uri="{B97F6D7D-B522-45F9-BDA1-12C45D357490}">
          <x15:cacheHierarchy aggregatedColumn="16"/>
        </ext>
      </extLst>
    </cacheHierarchy>
    <cacheHierarchy uniqueName="[Measures].[Sum of 4s]" caption="Sum of 4s" measure="1" displayFolder="" measureGroup="Table2" count="0" hidden="1">
      <extLst>
        <ext xmlns:x15="http://schemas.microsoft.com/office/spreadsheetml/2010/11/main" uri="{B97F6D7D-B522-45F9-BDA1-12C45D357490}">
          <x15:cacheHierarchy aggregatedColumn="18"/>
        </ext>
      </extLst>
    </cacheHierarchy>
    <cacheHierarchy uniqueName="[Measures].[Sum of 6s]" caption="Sum of 6s" measure="1" displayFolder="" measureGroup="Table2" count="0" hidden="1">
      <extLst>
        <ext xmlns:x15="http://schemas.microsoft.com/office/spreadsheetml/2010/11/main" uri="{B97F6D7D-B522-45F9-BDA1-12C45D357490}">
          <x15:cacheHierarchy aggregatedColumn="19"/>
        </ext>
      </extLst>
    </cacheHierarchy>
    <cacheHierarchy uniqueName="[Measures].[Sum of Wickets]" caption="Sum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Wins]" caption="Sum of Wins" measure="1" displayFolder="" measureGroup="Table4" count="0" hidden="1">
      <extLst>
        <ext xmlns:x15="http://schemas.microsoft.com/office/spreadsheetml/2010/11/main" uri="{B97F6D7D-B522-45F9-BDA1-12C45D357490}">
          <x15:cacheHierarchy aggregatedColumn="30"/>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0"/>
        </ext>
      </extLst>
    </cacheHierarchy>
    <cacheHierarchy uniqueName="[Measures].[StdDev of Wins]" caption="StdDev of Wins" measure="1" displayFolder="" measureGroup="Table4" count="0" hidden="1">
      <extLst>
        <ext xmlns:x15="http://schemas.microsoft.com/office/spreadsheetml/2010/11/main" uri="{B97F6D7D-B522-45F9-BDA1-12C45D357490}">
          <x15:cacheHierarchy aggregatedColumn="30"/>
        </ext>
      </extLst>
    </cacheHierarchy>
    <cacheHierarchy uniqueName="[Measures].[Sum of Match_ID]" caption="Sum of Match_ID" measure="1" displayFolder="" measureGroup="Table1" count="0" hidden="1">
      <extLst>
        <ext xmlns:x15="http://schemas.microsoft.com/office/spreadsheetml/2010/11/main" uri="{B97F6D7D-B522-45F9-BDA1-12C45D357490}">
          <x15:cacheHierarchy aggregatedColumn="0"/>
        </ext>
      </extLst>
    </cacheHierarchy>
    <cacheHierarchy uniqueName="[Measures].[Average of Match_ID]" caption="Average of Match_ID" measure="1" displayFolder="" measureGroup="Table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Table1"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Match_ID 2]" caption="Sum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Match_ID 2]" caption="Count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Wickets]" caption="Count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Table2" count="0" hidden="1">
      <extLst>
        <ext xmlns:x15="http://schemas.microsoft.com/office/spreadsheetml/2010/11/main" uri="{B97F6D7D-B522-45F9-BDA1-12C45D357490}">
          <x15:cacheHierarchy aggregatedColumn="14"/>
        </ext>
      </extLst>
    </cacheHierarchy>
    <cacheHierarchy uniqueName="[Measures].[Sum of Team]" caption="Sum of Team" measure="1" displayFolder="" measureGroup="Table2" count="0" hidden="1">
      <extLst>
        <ext xmlns:x15="http://schemas.microsoft.com/office/spreadsheetml/2010/11/main" uri="{B97F6D7D-B522-45F9-BDA1-12C45D357490}">
          <x15:cacheHierarchy aggregatedColumn="14"/>
        </ext>
      </extLst>
    </cacheHierarchy>
    <cacheHierarchy uniqueName="[Measures].[Average of Team]" caption="Average of Team" measure="1" displayFolder="" measureGroup="Table2" count="0" hidden="1">
      <extLst>
        <ext xmlns:x15="http://schemas.microsoft.com/office/spreadsheetml/2010/11/main" uri="{B97F6D7D-B522-45F9-BDA1-12C45D357490}">
          <x15:cacheHierarchy aggregatedColumn="14"/>
        </ext>
      </extLst>
    </cacheHierarchy>
    <cacheHierarchy uniqueName="[Measures].[Count of Team1]" caption="Count of Team1" measure="1" displayFolder="" measureGroup="Table1" count="0" hidden="1">
      <extLst>
        <ext xmlns:x15="http://schemas.microsoft.com/office/spreadsheetml/2010/11/main" uri="{B97F6D7D-B522-45F9-BDA1-12C45D357490}">
          <x15:cacheHierarchy aggregatedColumn="4"/>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9"/>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3"/>
        </ext>
      </extLst>
    </cacheHierarchy>
    <cacheHierarchy uniqueName="[Measures].[Count of Player]" caption="Count of Player" measure="1" displayFolder="" measureGroup="Table2" count="0" hidden="1">
      <extLst>
        <ext xmlns:x15="http://schemas.microsoft.com/office/spreadsheetml/2010/11/main" uri="{B97F6D7D-B522-45F9-BDA1-12C45D357490}">
          <x15:cacheHierarchy aggregatedColumn="15"/>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371660069446" backgroundQuery="1" createdVersion="7" refreshedVersion="7" minRefreshableVersion="3" recordCount="0" supportSubquery="1" supportAdvancedDrill="1" xr:uid="{B6C036FA-695F-4933-A792-7C2D294BE67E}">
  <cacheSource type="external" connectionId="1"/>
  <cacheFields count="5">
    <cacheField name="[Table2].[Player].[Player]" caption="Player" numFmtId="0" hierarchy="15" level="1">
      <sharedItems count="10">
        <s v="Abhishek Sharma"/>
        <s v="Andre Russell"/>
        <s v="KL Rahul"/>
        <s v="Rohit Sharma"/>
        <s v="Ruturaj Gaikwad"/>
        <s v="Shubman Gill"/>
        <s v="Sunil Narine"/>
        <s v="Suryakumar Yadav"/>
        <s v="Travis Head"/>
        <s v="Virat Kohli"/>
      </sharedItems>
    </cacheField>
    <cacheField name="[Table3].[Bowler].[Bowler]" caption="Bowler" numFmtId="0" hierarchy="24" level="1">
      <sharedItems count="10">
        <s v="Matheesha Pathirana"/>
        <s v="Mohammed Shami"/>
        <s v="Mohammed Siraj"/>
        <s v="Pat Cummins"/>
        <s v="Rashid Khan"/>
        <s v="Ravindra Jadeja"/>
        <s v="Sunil Narine"/>
        <s v="T Natarajan"/>
        <s v="Varun Chakravarthy"/>
        <s v="Yuzvendra Chahal"/>
      </sharedItems>
    </cacheField>
    <cacheField name="[Table1].[Venue].[Venue]" caption="Venue" numFmtId="0" hierarchy="3" level="1">
      <sharedItems count="1">
        <s v="Punjab Cricket Association Stadium"/>
      </sharedItems>
    </cacheField>
    <cacheField name="[Measures].[Count of Match_ID]" caption="Count of Match_ID" numFmtId="0" hierarchy="46" level="32767"/>
    <cacheField name="[Table2].[Team].[Team]" caption="Team" numFmtId="0" hierarchy="14" level="1">
      <sharedItems containsSemiMixedTypes="0" containsNonDate="0" containsString="0"/>
    </cacheField>
  </cacheFields>
  <cacheHierarchies count="59">
    <cacheHierarchy uniqueName="[Table1].[Match_ID]" caption="Match_ID" attribute="1" defaultMemberUniqueName="[Table1].[Match_ID].[All]" allUniqueName="[Table1].[Match_ID].[All]" dimensionUniqueName="[Table1]" displayFolder="" count="2" memberValueDatatype="20" unbalanced="0"/>
    <cacheHierarchy uniqueName="[Table1].[Season]" caption="Season" attribute="1" defaultMemberUniqueName="[Table1].[Season].[All]" allUniqueName="[Table1].[Season].[All]" dimensionUniqueName="[Table1]" displayFolder="" count="2" memberValueDatatype="20" unbalanced="0"/>
    <cacheHierarchy uniqueName="[Table1].[Date]" caption="Date" attribute="1" defaultMemberUniqueName="[Table1].[Date].[All]" allUniqueName="[Table1].[Date].[All]" dimensionUniqueName="[Table1]" displayFolder="" count="2"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2"/>
      </fieldsUsage>
    </cacheHierarchy>
    <cacheHierarchy uniqueName="[Table1].[Team1]" caption="Team1" attribute="1" defaultMemberUniqueName="[Table1].[Team1].[All]" allUniqueName="[Table1].[Team1].[All]" dimensionUniqueName="[Table1]" displayFolder="" count="2" memberValueDatatype="130" unbalanced="0"/>
    <cacheHierarchy uniqueName="[Table1].[Team2]" caption="Team2" attribute="1" defaultMemberUniqueName="[Table1].[Team2].[All]" allUniqueName="[Table1].[Team2].[All]" dimensionUniqueName="[Table1]" displayFolder="" count="2" memberValueDatatype="130" unbalanced="0"/>
    <cacheHierarchy uniqueName="[Table1].[Toss_Winner]" caption="Toss_Winner" attribute="1" defaultMemberUniqueName="[Table1].[Toss_Winner].[All]" allUniqueName="[Table1].[Toss_Winner].[All]" dimensionUniqueName="[Table1]" displayFolder="" count="2" memberValueDatatype="130" unbalanced="0"/>
    <cacheHierarchy uniqueName="[Table1].[Toss_Decision]" caption="Toss_Decision" attribute="1" defaultMemberUniqueName="[Table1].[Toss_Decision].[All]" allUniqueName="[Table1].[Toss_Decision].[All]" dimensionUniqueName="[Table1]" displayFolder="" count="2" memberValueDatatype="130" unbalanced="0"/>
    <cacheHierarchy uniqueName="[Table1].[Winner]" caption="Winner" attribute="1" defaultMemberUniqueName="[Table1].[Winner].[All]" allUniqueName="[Table1].[Winner].[All]" dimensionUniqueName="[Table1]" displayFolder="" count="2" memberValueDatatype="130" unbalanced="0"/>
    <cacheHierarchy uniqueName="[Table1].[Player_of_Match]" caption="Player_of_Match" attribute="1" defaultMemberUniqueName="[Table1].[Player_of_Match].[All]" allUniqueName="[Table1].[Player_of_Match].[All]" dimensionUniqueName="[Table1]" displayFolder="" count="2" memberValueDatatype="130" unbalanced="0"/>
    <cacheHierarchy uniqueName="[Table1].[Result]" caption="Result" attribute="1" defaultMemberUniqueName="[Table1].[Result].[All]" allUniqueName="[Table1].[Result].[All]" dimensionUniqueName="[Table1]" displayFolder="" count="2" memberValueDatatype="130" unbalanced="0"/>
    <cacheHierarchy uniqueName="[Table1].[Result_Margin]" caption="Result_Margin" attribute="1" defaultMemberUniqueName="[Table1].[Result_Margin].[All]" allUniqueName="[Table1].[Result_Margin].[All]" dimensionUniqueName="[Table1]" displayFolder="" count="2" memberValueDatatype="20" unbalanced="0"/>
    <cacheHierarchy uniqueName="[Table2].[Match_ID]" caption="Match_ID" attribute="1" defaultMemberUniqueName="[Table2].[Match_ID].[All]" allUniqueName="[Table2].[Match_ID].[All]" dimensionUniqueName="[Table2]" displayFolder="" count="2" memberValueDatatype="20" unbalanced="0"/>
    <cacheHierarchy uniqueName="[Table2].[Season]" caption="Season" attribute="1" defaultMemberUniqueName="[Table2].[Season].[All]" allUniqueName="[Table2].[Season].[All]" dimensionUniqueName="[Table2]" displayFolder="" count="2" memberValueDatatype="20" unbalanced="0"/>
    <cacheHierarchy uniqueName="[Table2].[Team]" caption="Team" attribute="1" defaultMemberUniqueName="[Table2].[Team].[All]" allUniqueName="[Table2].[Team].[All]" dimensionUniqueName="[Table2]" displayFolder="" count="2" memberValueDatatype="130" unbalanced="0">
      <fieldsUsage count="2">
        <fieldUsage x="-1"/>
        <fieldUsage x="4"/>
      </fieldsUsage>
    </cacheHierarchy>
    <cacheHierarchy uniqueName="[Table2].[Player]" caption="Player" attribute="1" defaultMemberUniqueName="[Table2].[Player].[All]" allUniqueName="[Table2].[Player].[All]" dimensionUniqueName="[Table2]" displayFolder="" count="2" memberValueDatatype="130" unbalanced="0">
      <fieldsUsage count="2">
        <fieldUsage x="-1"/>
        <fieldUsage x="0"/>
      </fieldsUsage>
    </cacheHierarchy>
    <cacheHierarchy uniqueName="[Table2].[Runs]" caption="Runs" attribute="1" defaultMemberUniqueName="[Table2].[Runs].[All]" allUniqueName="[Table2].[Runs].[All]" dimensionUniqueName="[Table2]" displayFolder="" count="2" memberValueDatatype="20" unbalanced="0"/>
    <cacheHierarchy uniqueName="[Table2].[Balls]" caption="Balls" attribute="1" defaultMemberUniqueName="[Table2].[Balls].[All]" allUniqueName="[Table2].[Balls].[All]" dimensionUniqueName="[Table2]" displayFolder="" count="2" memberValueDatatype="20" unbalanced="0"/>
    <cacheHierarchy uniqueName="[Table2].[4s]" caption="4s" attribute="1" defaultMemberUniqueName="[Table2].[4s].[All]" allUniqueName="[Table2].[4s].[All]" dimensionUniqueName="[Table2]" displayFolder="" count="2" memberValueDatatype="20" unbalanced="0"/>
    <cacheHierarchy uniqueName="[Table2].[6s]" caption="6s" attribute="1" defaultMemberUniqueName="[Table2].[6s].[All]" allUniqueName="[Table2].[6s].[All]" dimensionUniqueName="[Table2]" displayFolder="" count="2" memberValueDatatype="20" unbalanced="0"/>
    <cacheHierarchy uniqueName="[Table2].[Strike_Rate]" caption="Strike_Rate" attribute="1" defaultMemberUniqueName="[Table2].[Strike_Rate].[All]" allUniqueName="[Table2].[Strike_Rate].[All]" dimensionUniqueName="[Table2]" displayFolder="" count="2" memberValueDatatype="5" unbalanced="0"/>
    <cacheHierarchy uniqueName="[Table3].[Match_ID]" caption="Match_ID" attribute="1" defaultMemberUniqueName="[Table3].[Match_ID].[All]" allUniqueName="[Table3].[Match_ID].[All]" dimensionUniqueName="[Table3]" displayFolder="" count="2" memberValueDatatype="20" unbalanced="0"/>
    <cacheHierarchy uniqueName="[Table3].[Season]" caption="Season" attribute="1" defaultMemberUniqueName="[Table3].[Season].[All]" allUniqueName="[Table3].[Season].[All]" dimensionUniqueName="[Table3]" displayFolder="" count="2" memberValueDatatype="20" unbalanced="0"/>
    <cacheHierarchy uniqueName="[Table3].[Team]" caption="Team" attribute="1" defaultMemberUniqueName="[Table3].[Team].[All]" allUniqueName="[Table3].[Team].[All]" dimensionUniqueName="[Table3]" displayFolder="" count="2" memberValueDatatype="130" unbalanced="0"/>
    <cacheHierarchy uniqueName="[Table3].[Bowler]" caption="Bowler" attribute="1" defaultMemberUniqueName="[Table3].[Bowler].[All]" allUniqueName="[Table3].[Bowler].[All]" dimensionUniqueName="[Table3]" displayFolder="" count="2" memberValueDatatype="130" unbalanced="0">
      <fieldsUsage count="2">
        <fieldUsage x="-1"/>
        <fieldUsage x="1"/>
      </fieldsUsage>
    </cacheHierarchy>
    <cacheHierarchy uniqueName="[Table3].[Overs]" caption="Overs" attribute="1" defaultMemberUniqueName="[Table3].[Overs].[All]" allUniqueName="[Table3].[Overs].[All]" dimensionUniqueName="[Table3]" displayFolder="" count="2" memberValueDatatype="20" unbalanced="0"/>
    <cacheHierarchy uniqueName="[Table3].[Runs_Conceded]" caption="Runs_Conceded" attribute="1" defaultMemberUniqueName="[Table3].[Runs_Conceded].[All]" allUniqueName="[Table3].[Runs_Conceded].[All]" dimensionUniqueName="[Table3]" displayFolder="" count="2" memberValueDatatype="20" unbalanced="0"/>
    <cacheHierarchy uniqueName="[Table3].[Wickets]" caption="Wickets" attribute="1" defaultMemberUniqueName="[Table3].[Wickets].[All]" allUniqueName="[Table3].[Wickets].[All]" dimensionUniqueName="[Table3]" displayFolder="" count="2" memberValueDatatype="20" unbalanced="0"/>
    <cacheHierarchy uniqueName="[Table3].[Economy]" caption="Economy" attribute="1" defaultMemberUniqueName="[Table3].[Economy].[All]" allUniqueName="[Table3].[Economy].[All]" dimensionUniqueName="[Table3]" displayFolder="" count="2" memberValueDatatype="5" unbalanced="0"/>
    <cacheHierarchy uniqueName="[Table4].[Winner]" caption="Winner" attribute="1" defaultMemberUniqueName="[Table4].[Winner].[All]" allUniqueName="[Table4].[Winner].[All]" dimensionUniqueName="[Table4]" displayFolder="" count="2" memberValueDatatype="130" unbalanced="0"/>
    <cacheHierarchy uniqueName="[Table4].[Wins]" caption="Wins" attribute="1" defaultMemberUniqueName="[Table4].[Wins].[All]" allUniqueName="[Table4].[Wins].[All]" dimensionUniqueName="[Table4]" displayFolder="" count="2" memberValueDatatype="2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uns]" caption="Sum of Runs" measure="1" displayFolder="" measureGroup="Table2" count="0" hidden="1">
      <extLst>
        <ext xmlns:x15="http://schemas.microsoft.com/office/spreadsheetml/2010/11/main" uri="{B97F6D7D-B522-45F9-BDA1-12C45D357490}">
          <x15:cacheHierarchy aggregatedColumn="16"/>
        </ext>
      </extLst>
    </cacheHierarchy>
    <cacheHierarchy uniqueName="[Measures].[Count of Runs]" caption="Count of Runs" measure="1" displayFolder="" measureGroup="Table2" count="0" hidden="1">
      <extLst>
        <ext xmlns:x15="http://schemas.microsoft.com/office/spreadsheetml/2010/11/main" uri="{B97F6D7D-B522-45F9-BDA1-12C45D357490}">
          <x15:cacheHierarchy aggregatedColumn="16"/>
        </ext>
      </extLst>
    </cacheHierarchy>
    <cacheHierarchy uniqueName="[Measures].[Sum of 4s]" caption="Sum of 4s" measure="1" displayFolder="" measureGroup="Table2" count="0" hidden="1">
      <extLst>
        <ext xmlns:x15="http://schemas.microsoft.com/office/spreadsheetml/2010/11/main" uri="{B97F6D7D-B522-45F9-BDA1-12C45D357490}">
          <x15:cacheHierarchy aggregatedColumn="18"/>
        </ext>
      </extLst>
    </cacheHierarchy>
    <cacheHierarchy uniqueName="[Measures].[Sum of 6s]" caption="Sum of 6s" measure="1" displayFolder="" measureGroup="Table2" count="0" hidden="1">
      <extLst>
        <ext xmlns:x15="http://schemas.microsoft.com/office/spreadsheetml/2010/11/main" uri="{B97F6D7D-B522-45F9-BDA1-12C45D357490}">
          <x15:cacheHierarchy aggregatedColumn="19"/>
        </ext>
      </extLst>
    </cacheHierarchy>
    <cacheHierarchy uniqueName="[Measures].[Sum of Wickets]" caption="Sum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Wins]" caption="Sum of Wins" measure="1" displayFolder="" measureGroup="Table4" count="0" hidden="1">
      <extLst>
        <ext xmlns:x15="http://schemas.microsoft.com/office/spreadsheetml/2010/11/main" uri="{B97F6D7D-B522-45F9-BDA1-12C45D357490}">
          <x15:cacheHierarchy aggregatedColumn="30"/>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0"/>
        </ext>
      </extLst>
    </cacheHierarchy>
    <cacheHierarchy uniqueName="[Measures].[StdDev of Wins]" caption="StdDev of Wins" measure="1" displayFolder="" measureGroup="Table4" count="0" hidden="1">
      <extLst>
        <ext xmlns:x15="http://schemas.microsoft.com/office/spreadsheetml/2010/11/main" uri="{B97F6D7D-B522-45F9-BDA1-12C45D357490}">
          <x15:cacheHierarchy aggregatedColumn="30"/>
        </ext>
      </extLst>
    </cacheHierarchy>
    <cacheHierarchy uniqueName="[Measures].[Sum of Match_ID]" caption="Sum of Match_ID" measure="1" displayFolder="" measureGroup="Table1" count="0" hidden="1">
      <extLst>
        <ext xmlns:x15="http://schemas.microsoft.com/office/spreadsheetml/2010/11/main" uri="{B97F6D7D-B522-45F9-BDA1-12C45D357490}">
          <x15:cacheHierarchy aggregatedColumn="0"/>
        </ext>
      </extLst>
    </cacheHierarchy>
    <cacheHierarchy uniqueName="[Measures].[Average of Match_ID]" caption="Average of Match_ID" measure="1" displayFolder="" measureGroup="Table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Table1"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Match_ID 2]" caption="Sum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Match_ID 2]" caption="Count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Wickets]" caption="Count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Table2" count="0" hidden="1">
      <extLst>
        <ext xmlns:x15="http://schemas.microsoft.com/office/spreadsheetml/2010/11/main" uri="{B97F6D7D-B522-45F9-BDA1-12C45D357490}">
          <x15:cacheHierarchy aggregatedColumn="14"/>
        </ext>
      </extLst>
    </cacheHierarchy>
    <cacheHierarchy uniqueName="[Measures].[Sum of Team]" caption="Sum of Team" measure="1" displayFolder="" measureGroup="Table2" count="0" hidden="1">
      <extLst>
        <ext xmlns:x15="http://schemas.microsoft.com/office/spreadsheetml/2010/11/main" uri="{B97F6D7D-B522-45F9-BDA1-12C45D357490}">
          <x15:cacheHierarchy aggregatedColumn="14"/>
        </ext>
      </extLst>
    </cacheHierarchy>
    <cacheHierarchy uniqueName="[Measures].[Average of Team]" caption="Average of Team" measure="1" displayFolder="" measureGroup="Table2" count="0" hidden="1">
      <extLst>
        <ext xmlns:x15="http://schemas.microsoft.com/office/spreadsheetml/2010/11/main" uri="{B97F6D7D-B522-45F9-BDA1-12C45D357490}">
          <x15:cacheHierarchy aggregatedColumn="14"/>
        </ext>
      </extLst>
    </cacheHierarchy>
    <cacheHierarchy uniqueName="[Measures].[Count of Team1]" caption="Count of Team1" measure="1" displayFolder="" measureGroup="Table1" count="0" hidden="1">
      <extLst>
        <ext xmlns:x15="http://schemas.microsoft.com/office/spreadsheetml/2010/11/main" uri="{B97F6D7D-B522-45F9-BDA1-12C45D357490}">
          <x15:cacheHierarchy aggregatedColumn="4"/>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9"/>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3"/>
        </ext>
      </extLst>
    </cacheHierarchy>
    <cacheHierarchy uniqueName="[Measures].[Count of Player]" caption="Count of Player" measure="1" displayFolder="" measureGroup="Table2" count="0" hidden="1">
      <extLst>
        <ext xmlns:x15="http://schemas.microsoft.com/office/spreadsheetml/2010/11/main" uri="{B97F6D7D-B522-45F9-BDA1-12C45D357490}">
          <x15:cacheHierarchy aggregatedColumn="15"/>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8.430658217592" backgroundQuery="1" createdVersion="3" refreshedVersion="7" minRefreshableVersion="3" recordCount="0" supportSubquery="1" supportAdvancedDrill="1" xr:uid="{A04D4B45-E621-472D-AE4A-A63D79CA14FD}">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Table1].[Match_ID]" caption="Match_ID" attribute="1" defaultMemberUniqueName="[Table1].[Match_ID].[All]" allUniqueName="[Table1].[Match_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cacheHierarchy uniqueName="[Table1].[Date]" caption="Date" attribute="1" defaultMemberUniqueName="[Table1].[Date].[All]" allUniqueName="[Table1].[Date].[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Result_Margin]" caption="Result_Margin" attribute="1" defaultMemberUniqueName="[Table1].[Result_Margin].[All]" allUniqueName="[Table1].[Result_Margin].[All]" dimensionUniqueName="[Table1]" displayFolder="" count="0" memberValueDatatype="20" unbalanced="0"/>
    <cacheHierarchy uniqueName="[Table2].[Match_ID]" caption="Match_ID" attribute="1" defaultMemberUniqueName="[Table2].[Match_ID].[All]" allUniqueName="[Table2].[Match_ID].[All]" dimensionUniqueName="[Table2]" displayFolder="" count="0" memberValueDatatype="20" unbalanced="0"/>
    <cacheHierarchy uniqueName="[Table2].[Season]" caption="Season" attribute="1" defaultMemberUniqueName="[Table2].[Season].[All]" allUniqueName="[Table2].[Season].[All]" dimensionUniqueName="[Table2]" displayFolder="" count="0" memberValueDatatype="20" unbalanced="0"/>
    <cacheHierarchy uniqueName="[Table2].[Team]" caption="Team" attribute="1" defaultMemberUniqueName="[Table2].[Team].[All]" allUniqueName="[Table2].[Team].[All]" dimensionUniqueName="[Table2]" displayFolder="" count="2" memberValueDatatype="130" unbalanced="0"/>
    <cacheHierarchy uniqueName="[Table2].[Player]" caption="Player" attribute="1" defaultMemberUniqueName="[Table2].[Player].[All]" allUniqueName="[Table2].[Player].[All]" dimensionUniqueName="[Table2]" displayFolder="" count="2" memberValueDatatype="130" unbalanced="0"/>
    <cacheHierarchy uniqueName="[Table2].[Runs]" caption="Runs" attribute="1" defaultMemberUniqueName="[Table2].[Runs].[All]" allUniqueName="[Table2].[Runs].[All]" dimensionUniqueName="[Table2]" displayFolder="" count="0" memberValueDatatype="20" unbalanced="0"/>
    <cacheHierarchy uniqueName="[Table2].[Balls]" caption="Balls" attribute="1" defaultMemberUniqueName="[Table2].[Balls].[All]" allUniqueName="[Table2].[Balls].[All]" dimensionUniqueName="[Table2]" displayFolder="" count="0" memberValueDatatype="20" unbalanced="0"/>
    <cacheHierarchy uniqueName="[Table2].[4s]" caption="4s" attribute="1" defaultMemberUniqueName="[Table2].[4s].[All]" allUniqueName="[Table2].[4s].[All]" dimensionUniqueName="[Table2]" displayFolder="" count="0" memberValueDatatype="20" unbalanced="0"/>
    <cacheHierarchy uniqueName="[Table2].[6s]" caption="6s" attribute="1" defaultMemberUniqueName="[Table2].[6s].[All]" allUniqueName="[Table2].[6s].[All]" dimensionUniqueName="[Table2]" displayFolder="" count="0" memberValueDatatype="20" unbalanced="0"/>
    <cacheHierarchy uniqueName="[Table2].[Strike_Rate]" caption="Strike_Rate" attribute="1" defaultMemberUniqueName="[Table2].[Strike_Rate].[All]" allUniqueName="[Table2].[Strike_Rate].[All]" dimensionUniqueName="[Table2]" displayFolder="" count="0" memberValueDatatype="5" unbalanced="0"/>
    <cacheHierarchy uniqueName="[Table3].[Match_ID]" caption="Match_ID" attribute="1" defaultMemberUniqueName="[Table3].[Match_ID].[All]" allUniqueName="[Table3].[Match_ID].[All]" dimensionUniqueName="[Table3]" displayFolder="" count="0" memberValueDatatype="20" unbalanced="0"/>
    <cacheHierarchy uniqueName="[Table3].[Season]" caption="Season" attribute="1" defaultMemberUniqueName="[Table3].[Season].[All]" allUniqueName="[Table3].[Season].[All]" dimensionUniqueName="[Table3]" displayFolder="" count="0" memberValueDatatype="20" unbalanced="0"/>
    <cacheHierarchy uniqueName="[Table3].[Team]" caption="Team" attribute="1" defaultMemberUniqueName="[Table3].[Team].[All]" allUniqueName="[Table3].[Team].[All]" dimensionUniqueName="[Table3]" displayFolder="" count="0" memberValueDatatype="130" unbalanced="0"/>
    <cacheHierarchy uniqueName="[Table3].[Bowler]" caption="Bowler" attribute="1" defaultMemberUniqueName="[Table3].[Bowler].[All]" allUniqueName="[Table3].[Bowler].[All]" dimensionUniqueName="[Table3]" displayFolder="" count="0" memberValueDatatype="130" unbalanced="0"/>
    <cacheHierarchy uniqueName="[Table3].[Overs]" caption="Overs" attribute="1" defaultMemberUniqueName="[Table3].[Overs].[All]" allUniqueName="[Table3].[Overs].[All]" dimensionUniqueName="[Table3]" displayFolder="" count="0" memberValueDatatype="20" unbalanced="0"/>
    <cacheHierarchy uniqueName="[Table3].[Runs_Conceded]" caption="Runs_Conceded" attribute="1" defaultMemberUniqueName="[Table3].[Runs_Conceded].[All]" allUniqueName="[Table3].[Runs_Conceded].[All]" dimensionUniqueName="[Table3]" displayFolder="" count="0" memberValueDatatype="20" unbalanced="0"/>
    <cacheHierarchy uniqueName="[Table3].[Wickets]" caption="Wickets" attribute="1" defaultMemberUniqueName="[Table3].[Wickets].[All]" allUniqueName="[Table3].[Wickets].[All]" dimensionUniqueName="[Table3]" displayFolder="" count="0" memberValueDatatype="20" unbalanced="0"/>
    <cacheHierarchy uniqueName="[Table3].[Economy]" caption="Economy" attribute="1" defaultMemberUniqueName="[Table3].[Economy].[All]" allUniqueName="[Table3].[Economy].[All]" dimensionUniqueName="[Table3]" displayFolder="" count="0" memberValueDatatype="5" unbalanced="0"/>
    <cacheHierarchy uniqueName="[Table4].[Winner]" caption="Winner" attribute="1" defaultMemberUniqueName="[Table4].[Winner].[All]" allUniqueName="[Table4].[Winner].[All]" dimensionUniqueName="[Table4]" displayFolder="" count="0" memberValueDatatype="130" unbalanced="0"/>
    <cacheHierarchy uniqueName="[Table4].[Wins]" caption="Wins" attribute="1" defaultMemberUniqueName="[Table4].[Wins].[All]" allUniqueName="[Table4].[Wins].[All]" dimensionUniqueName="[Table4]" displayFolder="" count="0" memberValueDatatype="2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uns]" caption="Sum of Runs" measure="1" displayFolder="" measureGroup="Table2" count="0" hidden="1">
      <extLst>
        <ext xmlns:x15="http://schemas.microsoft.com/office/spreadsheetml/2010/11/main" uri="{B97F6D7D-B522-45F9-BDA1-12C45D357490}">
          <x15:cacheHierarchy aggregatedColumn="16"/>
        </ext>
      </extLst>
    </cacheHierarchy>
    <cacheHierarchy uniqueName="[Measures].[Count of Runs]" caption="Count of Runs" measure="1" displayFolder="" measureGroup="Table2" count="0" hidden="1">
      <extLst>
        <ext xmlns:x15="http://schemas.microsoft.com/office/spreadsheetml/2010/11/main" uri="{B97F6D7D-B522-45F9-BDA1-12C45D357490}">
          <x15:cacheHierarchy aggregatedColumn="16"/>
        </ext>
      </extLst>
    </cacheHierarchy>
    <cacheHierarchy uniqueName="[Measures].[Sum of 4s]" caption="Sum of 4s" measure="1" displayFolder="" measureGroup="Table2" count="0" hidden="1">
      <extLst>
        <ext xmlns:x15="http://schemas.microsoft.com/office/spreadsheetml/2010/11/main" uri="{B97F6D7D-B522-45F9-BDA1-12C45D357490}">
          <x15:cacheHierarchy aggregatedColumn="18"/>
        </ext>
      </extLst>
    </cacheHierarchy>
    <cacheHierarchy uniqueName="[Measures].[Sum of 6s]" caption="Sum of 6s" measure="1" displayFolder="" measureGroup="Table2" count="0" hidden="1">
      <extLst>
        <ext xmlns:x15="http://schemas.microsoft.com/office/spreadsheetml/2010/11/main" uri="{B97F6D7D-B522-45F9-BDA1-12C45D357490}">
          <x15:cacheHierarchy aggregatedColumn="19"/>
        </ext>
      </extLst>
    </cacheHierarchy>
    <cacheHierarchy uniqueName="[Measures].[Sum of Wickets]" caption="Sum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Wins]" caption="Sum of Wins" measure="1" displayFolder="" measureGroup="Table4" count="0" hidden="1">
      <extLst>
        <ext xmlns:x15="http://schemas.microsoft.com/office/spreadsheetml/2010/11/main" uri="{B97F6D7D-B522-45F9-BDA1-12C45D357490}">
          <x15:cacheHierarchy aggregatedColumn="30"/>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0"/>
        </ext>
      </extLst>
    </cacheHierarchy>
    <cacheHierarchy uniqueName="[Measures].[StdDev of Wins]" caption="StdDev of Wins" measure="1" displayFolder="" measureGroup="Table4" count="0" hidden="1">
      <extLst>
        <ext xmlns:x15="http://schemas.microsoft.com/office/spreadsheetml/2010/11/main" uri="{B97F6D7D-B522-45F9-BDA1-12C45D357490}">
          <x15:cacheHierarchy aggregatedColumn="30"/>
        </ext>
      </extLst>
    </cacheHierarchy>
    <cacheHierarchy uniqueName="[Measures].[Sum of Match_ID]" caption="Sum of Match_ID" measure="1" displayFolder="" measureGroup="Table1" count="0" hidden="1">
      <extLst>
        <ext xmlns:x15="http://schemas.microsoft.com/office/spreadsheetml/2010/11/main" uri="{B97F6D7D-B522-45F9-BDA1-12C45D357490}">
          <x15:cacheHierarchy aggregatedColumn="0"/>
        </ext>
      </extLst>
    </cacheHierarchy>
    <cacheHierarchy uniqueName="[Measures].[Average of Match_ID]" caption="Average of Match_ID" measure="1" displayFolder="" measureGroup="Table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Table1" count="0" hidden="1">
      <extLst>
        <ext xmlns:x15="http://schemas.microsoft.com/office/spreadsheetml/2010/11/main" uri="{B97F6D7D-B522-45F9-BDA1-12C45D357490}">
          <x15:cacheHierarchy aggregatedColumn="0"/>
        </ext>
      </extLst>
    </cacheHierarchy>
    <cacheHierarchy uniqueName="[Measures].[Sum of Match_ID 2]" caption="Sum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Match_ID 2]" caption="Count of Match_ID 2" measure="1" displayFolder="" measureGroup="Table2" count="0" hidden="1">
      <extLst>
        <ext xmlns:x15="http://schemas.microsoft.com/office/spreadsheetml/2010/11/main" uri="{B97F6D7D-B522-45F9-BDA1-12C45D357490}">
          <x15:cacheHierarchy aggregatedColumn="12"/>
        </ext>
      </extLst>
    </cacheHierarchy>
    <cacheHierarchy uniqueName="[Measures].[Count of Wickets]" caption="Count of Wickets" measure="1" displayFolder="" measureGroup="Table3" count="0" hidden="1">
      <extLst>
        <ext xmlns:x15="http://schemas.microsoft.com/office/spreadsheetml/2010/11/main" uri="{B97F6D7D-B522-45F9-BDA1-12C45D357490}">
          <x15:cacheHierarchy aggregatedColumn="27"/>
        </ext>
      </extLst>
    </cacheHierarchy>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1610432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8B2CC8-4B76-4661-B9B7-DE11F68ACF18}" name="PivotTable8" cacheId="22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1">
  <location ref="C17:N21" firstHeaderRow="1" firstDataRow="2" firstDataCol="1"/>
  <pivotFields count="8">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Fields count="1">
    <field x="3"/>
  </colFields>
  <colItems count="11">
    <i>
      <x/>
    </i>
    <i>
      <x v="1"/>
    </i>
    <i>
      <x v="2"/>
    </i>
    <i>
      <x v="3"/>
    </i>
    <i>
      <x v="4"/>
    </i>
    <i>
      <x v="5"/>
    </i>
    <i>
      <x v="6"/>
    </i>
    <i>
      <x v="7"/>
    </i>
    <i>
      <x v="8"/>
    </i>
    <i>
      <x v="9"/>
    </i>
    <i t="grand">
      <x/>
    </i>
  </colItems>
  <dataFields count="1">
    <dataField name="Count of Match_ID" fld="4" subtotal="count" baseField="2" baseItem="0"/>
  </dataFields>
  <chartFormats count="20">
    <chartFormat chart="25" format="20" series="1">
      <pivotArea type="data" outline="0" fieldPosition="0">
        <references count="2">
          <reference field="4294967294" count="1" selected="0">
            <x v="0"/>
          </reference>
          <reference field="3" count="1" selected="0">
            <x v="0"/>
          </reference>
        </references>
      </pivotArea>
    </chartFormat>
    <chartFormat chart="25" format="21" series="1">
      <pivotArea type="data" outline="0" fieldPosition="0">
        <references count="2">
          <reference field="4294967294" count="1" selected="0">
            <x v="0"/>
          </reference>
          <reference field="3" count="1" selected="0">
            <x v="1"/>
          </reference>
        </references>
      </pivotArea>
    </chartFormat>
    <chartFormat chart="25" format="22" series="1">
      <pivotArea type="data" outline="0" fieldPosition="0">
        <references count="2">
          <reference field="4294967294" count="1" selected="0">
            <x v="0"/>
          </reference>
          <reference field="3" count="1" selected="0">
            <x v="2"/>
          </reference>
        </references>
      </pivotArea>
    </chartFormat>
    <chartFormat chart="25" format="23" series="1">
      <pivotArea type="data" outline="0" fieldPosition="0">
        <references count="2">
          <reference field="4294967294" count="1" selected="0">
            <x v="0"/>
          </reference>
          <reference field="3" count="1" selected="0">
            <x v="3"/>
          </reference>
        </references>
      </pivotArea>
    </chartFormat>
    <chartFormat chart="25" format="24" series="1">
      <pivotArea type="data" outline="0" fieldPosition="0">
        <references count="2">
          <reference field="4294967294" count="1" selected="0">
            <x v="0"/>
          </reference>
          <reference field="3" count="1" selected="0">
            <x v="4"/>
          </reference>
        </references>
      </pivotArea>
    </chartFormat>
    <chartFormat chart="25" format="25" series="1">
      <pivotArea type="data" outline="0" fieldPosition="0">
        <references count="2">
          <reference field="4294967294" count="1" selected="0">
            <x v="0"/>
          </reference>
          <reference field="3" count="1" selected="0">
            <x v="5"/>
          </reference>
        </references>
      </pivotArea>
    </chartFormat>
    <chartFormat chart="25" format="26" series="1">
      <pivotArea type="data" outline="0" fieldPosition="0">
        <references count="2">
          <reference field="4294967294" count="1" selected="0">
            <x v="0"/>
          </reference>
          <reference field="3" count="1" selected="0">
            <x v="6"/>
          </reference>
        </references>
      </pivotArea>
    </chartFormat>
    <chartFormat chart="25" format="27" series="1">
      <pivotArea type="data" outline="0" fieldPosition="0">
        <references count="2">
          <reference field="4294967294" count="1" selected="0">
            <x v="0"/>
          </reference>
          <reference field="3" count="1" selected="0">
            <x v="7"/>
          </reference>
        </references>
      </pivotArea>
    </chartFormat>
    <chartFormat chart="25" format="28" series="1">
      <pivotArea type="data" outline="0" fieldPosition="0">
        <references count="2">
          <reference field="4294967294" count="1" selected="0">
            <x v="0"/>
          </reference>
          <reference field="3" count="1" selected="0">
            <x v="8"/>
          </reference>
        </references>
      </pivotArea>
    </chartFormat>
    <chartFormat chart="25" format="29" series="1">
      <pivotArea type="data" outline="0" fieldPosition="0">
        <references count="2">
          <reference field="4294967294" count="1" selected="0">
            <x v="0"/>
          </reference>
          <reference field="3" count="1" selected="0">
            <x v="9"/>
          </reference>
        </references>
      </pivotArea>
    </chartFormat>
    <chartFormat chart="27" format="40" series="1">
      <pivotArea type="data" outline="0" fieldPosition="0">
        <references count="2">
          <reference field="4294967294" count="1" selected="0">
            <x v="0"/>
          </reference>
          <reference field="3" count="1" selected="0">
            <x v="0"/>
          </reference>
        </references>
      </pivotArea>
    </chartFormat>
    <chartFormat chart="27" format="41" series="1">
      <pivotArea type="data" outline="0" fieldPosition="0">
        <references count="2">
          <reference field="4294967294" count="1" selected="0">
            <x v="0"/>
          </reference>
          <reference field="3" count="1" selected="0">
            <x v="1"/>
          </reference>
        </references>
      </pivotArea>
    </chartFormat>
    <chartFormat chart="27" format="42" series="1">
      <pivotArea type="data" outline="0" fieldPosition="0">
        <references count="2">
          <reference field="4294967294" count="1" selected="0">
            <x v="0"/>
          </reference>
          <reference field="3" count="1" selected="0">
            <x v="2"/>
          </reference>
        </references>
      </pivotArea>
    </chartFormat>
    <chartFormat chart="27" format="43" series="1">
      <pivotArea type="data" outline="0" fieldPosition="0">
        <references count="2">
          <reference field="4294967294" count="1" selected="0">
            <x v="0"/>
          </reference>
          <reference field="3" count="1" selected="0">
            <x v="3"/>
          </reference>
        </references>
      </pivotArea>
    </chartFormat>
    <chartFormat chart="27" format="44" series="1">
      <pivotArea type="data" outline="0" fieldPosition="0">
        <references count="2">
          <reference field="4294967294" count="1" selected="0">
            <x v="0"/>
          </reference>
          <reference field="3" count="1" selected="0">
            <x v="4"/>
          </reference>
        </references>
      </pivotArea>
    </chartFormat>
    <chartFormat chart="27" format="45" series="1">
      <pivotArea type="data" outline="0" fieldPosition="0">
        <references count="2">
          <reference field="4294967294" count="1" selected="0">
            <x v="0"/>
          </reference>
          <reference field="3" count="1" selected="0">
            <x v="5"/>
          </reference>
        </references>
      </pivotArea>
    </chartFormat>
    <chartFormat chart="27" format="46" series="1">
      <pivotArea type="data" outline="0" fieldPosition="0">
        <references count="2">
          <reference field="4294967294" count="1" selected="0">
            <x v="0"/>
          </reference>
          <reference field="3" count="1" selected="0">
            <x v="6"/>
          </reference>
        </references>
      </pivotArea>
    </chartFormat>
    <chartFormat chart="27" format="47" series="1">
      <pivotArea type="data" outline="0" fieldPosition="0">
        <references count="2">
          <reference field="4294967294" count="1" selected="0">
            <x v="0"/>
          </reference>
          <reference field="3" count="1" selected="0">
            <x v="7"/>
          </reference>
        </references>
      </pivotArea>
    </chartFormat>
    <chartFormat chart="27" format="48" series="1">
      <pivotArea type="data" outline="0" fieldPosition="0">
        <references count="2">
          <reference field="4294967294" count="1" selected="0">
            <x v="0"/>
          </reference>
          <reference field="3" count="1" selected="0">
            <x v="8"/>
          </reference>
        </references>
      </pivotArea>
    </chartFormat>
    <chartFormat chart="27" format="49" series="1">
      <pivotArea type="data" outline="0" fieldPosition="0">
        <references count="2">
          <reference field="4294967294" count="1" selected="0">
            <x v="0"/>
          </reference>
          <reference field="3" count="1" selected="0">
            <x v="9"/>
          </reference>
        </references>
      </pivotArea>
    </chartFormat>
  </chartFormats>
  <pivotHierarchies count="59">
    <pivotHierarchy dragToData="1"/>
    <pivotHierarchy multipleItemSelectionAllowed="1" dragToData="1"/>
    <pivotHierarchy dragToData="1"/>
    <pivotHierarchy multipleItemSelectionAllowed="1" dragToData="1">
      <members count="1" level="1">
        <member name="[Table1].[Venue].&amp;[Punjab Cricket Association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Team].&amp;[D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uns"/>
    <pivotHierarchy dragToData="1" caption="Count of Runs"/>
    <pivotHierarchy dragToData="1"/>
    <pivotHierarchy dragToData="1"/>
    <pivotHierarchy dragToData="1"/>
    <pivotHierarchy dragToData="1"/>
    <pivotHierarchy dragToData="1"/>
    <pivotHierarchy dragToData="1"/>
    <pivotHierarchy dragToData="1"/>
    <pivotHierarchy dragToData="1" caption="Average of Match_ID"/>
    <pivotHierarchy dragToData="1" caption="Count of Match_ID"/>
    <pivotHierarchy dragToData="1"/>
    <pivotHierarchy dragToData="1" caption="Count of Match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36">
      <autoFilter ref="A1">
        <filterColumn colId="0">
          <top10 val="10" filterVal="10"/>
        </filterColumn>
      </autoFilter>
    </filter>
    <filter fld="1" type="count" id="5" iMeasureHier="40">
      <autoFilter ref="A1">
        <filterColumn colId="0">
          <top10 val="10" filterVal="10"/>
        </filterColumn>
      </autoFilter>
    </filter>
  </filters>
  <rowHierarchiesUsage count="1">
    <rowHierarchyUsage hierarchyUsage="7"/>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EDEEAC-4CA6-4B7A-90D6-FA8545AD1AFD}" name="PivotTable10" cacheId="2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B24:C35" firstHeaderRow="1" firstDataRow="1" firstDataCol="1"/>
  <pivotFields count="5">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5"/>
    </i>
    <i>
      <x/>
    </i>
    <i>
      <x v="6"/>
    </i>
    <i>
      <x v="2"/>
    </i>
    <i>
      <x v="3"/>
    </i>
    <i>
      <x v="1"/>
    </i>
    <i>
      <x v="9"/>
    </i>
    <i>
      <x v="8"/>
    </i>
    <i>
      <x v="7"/>
    </i>
    <i>
      <x v="4"/>
    </i>
    <i t="grand">
      <x/>
    </i>
  </rowItems>
  <colItems count="1">
    <i/>
  </colItems>
  <dataFields count="1">
    <dataField name="Count of Runs"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multipleItemSelectionAllowed="1" dragToData="1">
      <members count="1" level="1">
        <member name="[Table1].[Venue].&amp;[Punjab Cricket Association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Team].&amp;[D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uns"/>
    <pivotHierarchy dragToData="1" caption="Count of Ru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7">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B60F43-121D-4EB1-AC0F-CC3B1E7DC4A8}" name="PivotTable3" cacheId="21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A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uns" fld="0" baseField="0" baseItem="0"/>
  </dataFields>
  <pivotHierarchies count="59">
    <pivotHierarchy dragToData="1"/>
    <pivotHierarchy multipleItemSelectionAllowed="1" dragToData="1"/>
    <pivotHierarchy dragToData="1"/>
    <pivotHierarchy multipleItemSelectionAllowed="1" dragToData="1">
      <members count="1" level="1">
        <member name="[Table1].[Venue].&amp;[Punjab Cricket Association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Team].&amp;[D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uns"/>
    <pivotHierarchy dragToData="1" caption="Count of Ru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6D6404-E485-4841-94DD-A58D8B06A8C7}" name="PivotTable7" cacheId="22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1">
  <location ref="I3:J9"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Count of Match_ID" fld="3" subtotal="count" baseField="2" baseItem="0"/>
  </dataFields>
  <chartFormats count="2">
    <chartFormat chart="25"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multipleItemSelectionAllowed="1" dragToData="1">
      <members count="1" level="1">
        <member name="[Table1].[Venue].&amp;[Punjab Cricket Association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Team].&amp;[D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uns"/>
    <pivotHierarchy dragToData="1" caption="Count of Runs"/>
    <pivotHierarchy dragToData="1"/>
    <pivotHierarchy dragToData="1"/>
    <pivotHierarchy dragToData="1"/>
    <pivotHierarchy dragToData="1"/>
    <pivotHierarchy dragToData="1"/>
    <pivotHierarchy dragToData="1"/>
    <pivotHierarchy dragToData="1"/>
    <pivotHierarchy dragToData="1" caption="Average of Match_ID"/>
    <pivotHierarchy dragToData="1" caption="Count of Match_ID"/>
    <pivotHierarchy dragToData="1"/>
    <pivotHierarchy dragToData="1" caption="Count of Match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36">
      <autoFilter ref="A1">
        <filterColumn colId="0">
          <top10 val="10" filterVal="10"/>
        </filterColumn>
      </autoFilter>
    </filter>
    <filter fld="1" type="count" id="5" iMeasureHier="4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1428B9-5F05-4B45-AC15-66D95ED51801}" name="PivotTable1" cacheId="20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C3:D14" firstHeaderRow="1" firstDataRow="1" firstDataCol="1"/>
  <pivotFields count="5">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Wins"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multipleItemSelectionAllowed="1" dragToData="1">
      <members count="1" level="1">
        <member name="[Table1].[Venue].&amp;[Punjab Cricket Association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Team].&amp;[D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uns"/>
    <pivotHierarchy dragToData="1" caption="Count of Ru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Table2]"/>
        <x15:activeTabTopLevelEntity name="[Table3]"/>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6D0FFF-1413-44AF-A438-3037EE661DD4}" name="PivotTable6" cacheId="22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5:A1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Wickets" fld="0" baseField="0" baseItem="0"/>
  </dataFields>
  <pivotHierarchies count="59">
    <pivotHierarchy dragToData="1"/>
    <pivotHierarchy multipleItemSelectionAllowed="1" dragToData="1"/>
    <pivotHierarchy dragToData="1"/>
    <pivotHierarchy multipleItemSelectionAllowed="1" dragToData="1">
      <members count="1" level="1">
        <member name="[Table1].[Venue].&amp;[Punjab Cricket Association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Team].&amp;[D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uns"/>
    <pivotHierarchy dragToData="1" caption="Count of Ru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43F540-D25F-4EC8-88EF-AD54C6D0032D}" name="PivotTable9" cacheId="22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3">
  <location ref="I11:I14"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pivotHierarchies count="59">
    <pivotHierarchy dragToData="1"/>
    <pivotHierarchy multipleItemSelectionAllowed="1" dragToData="1"/>
    <pivotHierarchy dragToData="1"/>
    <pivotHierarchy multipleItemSelectionAllowed="1" dragToData="1">
      <members count="1" level="1">
        <member name="[Table1].[Venue].&amp;[Punjab Cricket Association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Team].&amp;[D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uns"/>
    <pivotHierarchy dragToData="1" caption="Count of Runs"/>
    <pivotHierarchy dragToData="1"/>
    <pivotHierarchy dragToData="1"/>
    <pivotHierarchy dragToData="1"/>
    <pivotHierarchy dragToData="1"/>
    <pivotHierarchy dragToData="1"/>
    <pivotHierarchy dragToData="1"/>
    <pivotHierarchy dragToData="1"/>
    <pivotHierarchy dragToData="1" caption="Average of Match_ID"/>
    <pivotHierarchy dragToData="1" caption="Count of Match_ID"/>
    <pivotHierarchy dragToData="1"/>
    <pivotHierarchy dragToData="1" caption="Count of Match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36">
      <autoFilter ref="A1">
        <filterColumn colId="0">
          <top10 val="10" filterVal="10"/>
        </filterColumn>
      </autoFilter>
    </filter>
    <filter fld="1" type="count" id="5" iMeasureHier="40">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9C57ED-35E5-4193-A457-4D93AA34E8BB}" name="PivotTable5" cacheId="21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1:A1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6s" fld="0" baseField="0" baseItem="0"/>
  </dataFields>
  <pivotHierarchies count="59">
    <pivotHierarchy dragToData="1"/>
    <pivotHierarchy multipleItemSelectionAllowed="1" dragToData="1"/>
    <pivotHierarchy dragToData="1"/>
    <pivotHierarchy multipleItemSelectionAllowed="1" dragToData="1">
      <members count="1" level="1">
        <member name="[Table1].[Venue].&amp;[Punjab Cricket Association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Team].&amp;[D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uns"/>
    <pivotHierarchy dragToData="1" caption="Count of Ru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3B056C-F113-43B4-BC74-40DE7F23E3BA}" name="PivotTable2" cacheId="21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6">
  <location ref="F3:G14"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2"/>
    </i>
    <i>
      <x v="6"/>
    </i>
    <i>
      <x v="4"/>
    </i>
    <i>
      <x v="7"/>
    </i>
    <i>
      <x v="9"/>
    </i>
    <i>
      <x v="8"/>
    </i>
    <i>
      <x/>
    </i>
    <i>
      <x v="1"/>
    </i>
    <i>
      <x v="5"/>
    </i>
    <i>
      <x v="3"/>
    </i>
    <i t="grand">
      <x/>
    </i>
  </rowItems>
  <colItems count="1">
    <i/>
  </colItems>
  <dataFields count="1">
    <dataField name="Count of Wickets" fld="2" subtotal="count" baseField="1" baseItem="6"/>
  </dataFields>
  <chartFormats count="1">
    <chartFormat chart="12" format="5"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multipleItemSelectionAllowed="1" dragToData="1">
      <members count="1" level="1">
        <member name="[Table1].[Venue].&amp;[Punjab Cricket Association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Team].&amp;[D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uns"/>
    <pivotHierarchy dragToData="1" caption="Count of Runs"/>
    <pivotHierarchy dragToData="1"/>
    <pivotHierarchy dragToData="1"/>
    <pivotHierarchy dragToData="1"/>
    <pivotHierarchy dragToData="1"/>
    <pivotHierarchy dragToData="1"/>
    <pivotHierarchy dragToData="1"/>
    <pivotHierarchy dragToData="1"/>
    <pivotHierarchy dragToData="1" caption="Average of Match_ID"/>
    <pivotHierarchy dragToData="1" caption="Count of Match_ID"/>
    <pivotHierarchy dragToData="1"/>
    <pivotHierarchy dragToData="1" caption="Count of Match_ID"/>
    <pivotHierarchy dragToData="1" caption="Count of Wicke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5" iMeasureHier="40">
      <autoFilter ref="A1">
        <filterColumn colId="0">
          <top10 val="10" filterVal="10"/>
        </filterColumn>
      </autoFilter>
    </filter>
    <filter fld="0" type="count" id="4" iMeasureHier="36">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DFB169-A759-450C-9021-DD31BDD97662}" name="PivotTable4" cacheId="21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7:A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4s" fld="0" baseField="0" baseItem="0"/>
  </dataFields>
  <pivotHierarchies count="59">
    <pivotHierarchy dragToData="1"/>
    <pivotHierarchy multipleItemSelectionAllowed="1" dragToData="1"/>
    <pivotHierarchy dragToData="1"/>
    <pivotHierarchy multipleItemSelectionAllowed="1" dragToData="1">
      <members count="1" level="1">
        <member name="[Table1].[Venue].&amp;[Punjab Cricket Association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Team].&amp;[D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uns"/>
    <pivotHierarchy dragToData="1" caption="Count of Ru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363965-3318-4B87-A397-DF673EF982CC}" name="PivotTable11" cacheId="23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4">
  <location ref="B38:C40"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2"/>
  </rowFields>
  <rowItems count="2">
    <i>
      <x/>
    </i>
    <i t="grand">
      <x/>
    </i>
  </rowItems>
  <colItems count="1">
    <i/>
  </colItems>
  <dataFields count="1">
    <dataField name="Count of Match_ID" fld="3" subtotal="count" baseField="2" baseItem="0"/>
  </dataFields>
  <chartFormats count="1">
    <chartFormat chart="33" format="2"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Team].&amp;[D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uns"/>
    <pivotHierarchy dragToData="1" caption="Count of Runs"/>
    <pivotHierarchy dragToData="1"/>
    <pivotHierarchy dragToData="1"/>
    <pivotHierarchy dragToData="1"/>
    <pivotHierarchy dragToData="1"/>
    <pivotHierarchy dragToData="1"/>
    <pivotHierarchy dragToData="1"/>
    <pivotHierarchy dragToData="1"/>
    <pivotHierarchy dragToData="1" caption="Average of Match_ID"/>
    <pivotHierarchy dragToData="1" caption="Count of Match_ID"/>
    <pivotHierarchy dragToData="1" caption="Sum of Match_ID"/>
    <pivotHierarchy dragToData="1" caption="Count of Match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36">
      <autoFilter ref="A1">
        <filterColumn colId="0">
          <top10 val="10" filterVal="10"/>
        </filterColumn>
      </autoFilter>
    </filter>
    <filter fld="1" type="count" id="5" iMeasureHier="40">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CB706D97-744E-4026-B883-CA3AB8817671}" sourceName="[Table1].[Venue]">
  <pivotTables>
    <pivotTable tabId="15" name="PivotTable10"/>
    <pivotTable tabId="15" name="PivotTable1"/>
    <pivotTable tabId="15" name="PivotTable11"/>
    <pivotTable tabId="15" name="PivotTable2"/>
    <pivotTable tabId="15" name="PivotTable3"/>
    <pivotTable tabId="15" name="PivotTable4"/>
    <pivotTable tabId="15" name="PivotTable5"/>
    <pivotTable tabId="15" name="PivotTable6"/>
    <pivotTable tabId="15" name="PivotTable7"/>
    <pivotTable tabId="15" name="PivotTable8"/>
    <pivotTable tabId="15" name="PivotTable9"/>
  </pivotTables>
  <data>
    <olap pivotCacheId="1161043238">
      <levels count="2">
        <level uniqueName="[Table1].[Venue].[(All)]" sourceCaption="(All)" count="0"/>
        <level uniqueName="[Table1].[Venue].[Venue]" sourceCaption="Venue" count="10">
          <ranges>
            <range startItem="0">
              <i n="[Table1].[Venue].&amp;[Arun Jaitley Stadium]" c="Arun Jaitley Stadium"/>
              <i n="[Table1].[Venue].&amp;[Eden Gardens]" c="Eden Gardens"/>
              <i n="[Table1].[Venue].&amp;[Ekana Cricket Stadium]" c="Ekana Cricket Stadium"/>
              <i n="[Table1].[Venue].&amp;[M Chinnaswamy Stadium]" c="M Chinnaswamy Stadium"/>
              <i n="[Table1].[Venue].&amp;[MA Chidambaram Stadium]" c="MA Chidambaram Stadium"/>
              <i n="[Table1].[Venue].&amp;[Narendra Modi Stadium]" c="Narendra Modi Stadium"/>
              <i n="[Table1].[Venue].&amp;[Punjab Cricket Association Stadium]" c="Punjab Cricket Association Stadium"/>
              <i n="[Table1].[Venue].&amp;[Rajiv Gandhi International Stadium]" c="Rajiv Gandhi International Stadium"/>
              <i n="[Table1].[Venue].&amp;[Sawai Mansingh Stadium]" c="Sawai Mansingh Stadium"/>
              <i n="[Table1].[Venue].&amp;[Wankhede Stadium]" c="Wankhede Stadium"/>
            </range>
          </ranges>
        </level>
      </levels>
      <selections count="1">
        <selection n="[Table1].[Venue].&amp;[Punjab Cricket Association Stadiu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BE83FE74-FFC9-47C4-8F7F-CBC24CC84F2A}" sourceName="[Table2].[Team]">
  <pivotTables>
    <pivotTable tabId="15" name="PivotTable10"/>
    <pivotTable tabId="15" name="PivotTable1"/>
    <pivotTable tabId="15" name="PivotTable11"/>
    <pivotTable tabId="15" name="PivotTable2"/>
    <pivotTable tabId="15" name="PivotTable3"/>
    <pivotTable tabId="15" name="PivotTable4"/>
    <pivotTable tabId="15" name="PivotTable5"/>
    <pivotTable tabId="15" name="PivotTable6"/>
    <pivotTable tabId="15" name="PivotTable7"/>
    <pivotTable tabId="15" name="PivotTable8"/>
    <pivotTable tabId="15" name="PivotTable9"/>
  </pivotTables>
  <data>
    <olap pivotCacheId="1161043238">
      <levels count="2">
        <level uniqueName="[Table2].[Team].[(All)]" sourceCaption="(All)" count="0"/>
        <level uniqueName="[Table2].[Team].[Team]" sourceCaption="Team" count="10">
          <ranges>
            <range startItem="0">
              <i n="[Table2].[Team].&amp;[CSK]" c="CSK"/>
              <i n="[Table2].[Team].&amp;[DC]" c="DC"/>
              <i n="[Table2].[Team].&amp;[GT]" c="GT"/>
              <i n="[Table2].[Team].&amp;[KKR]" c="KKR"/>
              <i n="[Table2].[Team].&amp;[LSG]" c="LSG"/>
              <i n="[Table2].[Team].&amp;[MI]" c="MI"/>
              <i n="[Table2].[Team].&amp;[PBKS]" c="PBKS"/>
              <i n="[Table2].[Team].&amp;[RCB]" c="RCB"/>
              <i n="[Table2].[Team].&amp;[RR]" c="RR"/>
              <i n="[Table2].[Team].&amp;[SRH]" c="SRH"/>
            </range>
          </ranges>
        </level>
      </levels>
      <selections count="1">
        <selection n="[Table2].[Team].&amp;[DC]"/>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E4708D13-11AB-4552-877C-6E756F33D201}" sourceName="[Table1].[Season]">
  <pivotTables>
    <pivotTable tabId="15" name="PivotTable11"/>
    <pivotTable tabId="15" name="PivotTable1"/>
    <pivotTable tabId="15" name="PivotTable10"/>
    <pivotTable tabId="15" name="PivotTable2"/>
    <pivotTable tabId="15" name="PivotTable3"/>
    <pivotTable tabId="15" name="PivotTable4"/>
    <pivotTable tabId="15" name="PivotTable5"/>
    <pivotTable tabId="15" name="PivotTable6"/>
    <pivotTable tabId="15" name="PivotTable7"/>
    <pivotTable tabId="15" name="PivotTable8"/>
    <pivotTable tabId="15" name="PivotTable9"/>
  </pivotTables>
  <data>
    <olap pivotCacheId="1161043238">
      <levels count="2">
        <level uniqueName="[Table1].[Season].[(All)]" sourceCaption="(All)" count="0"/>
        <level uniqueName="[Table1].[Season].[Season]" sourceCaption="Season" count="5">
          <ranges>
            <range startItem="0">
              <i n="[Table1].[Season].&amp;[2021]" c="2021"/>
              <i n="[Table1].[Season].&amp;[2022]" c="2022"/>
              <i n="[Table1].[Season].&amp;[2023]" c="2023"/>
              <i n="[Table1].[Season].&amp;[2024]" c="2024"/>
              <i n="[Table1].[Season].&amp;[2025]" c="2025"/>
            </range>
          </ranges>
        </level>
      </levels>
      <selections count="1">
        <selection n="[Table1].[Sea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AB7EF5B6-8CCD-421C-927D-D0FCA6AAEA6D}" cache="Slicer_Venue" caption="Venue" level="1" style="SlicerStyleDark6" rowHeight="241300"/>
  <slicer name="Team" xr10:uid="{791BBECD-78BF-4F4B-BBDB-821F98C691D8}" cache="Slicer_Team" caption="Team" level="1" style="raman" rowHeight="241300"/>
  <slicer name="Season" xr10:uid="{A9D0B000-4127-4372-8A6F-3D671F6E787B}" cache="Slicer_Season" caption="Season" columnCount="5" showCaption="0" level="1" style="rama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C6D686-9AAD-4F8D-A2FE-A219E9CDC1B0}" name="Table1" displayName="Table1" ref="A1:L501" totalsRowShown="0" headerRowDxfId="11" headerRowBorderDxfId="10" tableBorderDxfId="9">
  <autoFilter ref="A1:L501" xr:uid="{00000000-0009-0000-0000-000000000000}"/>
  <tableColumns count="12">
    <tableColumn id="1" xr3:uid="{0F7EDE48-AFB2-471C-B8B3-B16BB6D619A5}" name="Match_ID"/>
    <tableColumn id="2" xr3:uid="{D448A51E-F617-4CDD-A43F-249EB5436D0F}" name="Season"/>
    <tableColumn id="3" xr3:uid="{1B8CFFE8-5CEB-43AA-A328-23AA6A37D0AF}" name="Date"/>
    <tableColumn id="4" xr3:uid="{A9525106-4406-4A28-8834-FD2F1575C70A}" name="Venue"/>
    <tableColumn id="5" xr3:uid="{EC0CD77C-F161-4FB8-A149-906678C23134}" name="Team1"/>
    <tableColumn id="6" xr3:uid="{083E629B-2049-446F-AAC9-7060ED19BA15}" name="Team2"/>
    <tableColumn id="7" xr3:uid="{D25517DF-497E-4055-82BA-4E1606D35ED1}" name="Toss_Winner"/>
    <tableColumn id="8" xr3:uid="{E6E8D097-A5CB-4C22-A020-E65CFF579B8D}" name="Toss_Decision"/>
    <tableColumn id="9" xr3:uid="{869D6A3F-81D4-4386-B43F-EA8A548E11FB}" name="Winner"/>
    <tableColumn id="10" xr3:uid="{A6C6E1CC-6FA4-4B6D-A29A-97135EF69B8E}" name="Player_of_Match"/>
    <tableColumn id="11" xr3:uid="{D53B773F-2CC6-41FE-8422-20CE7A23BC1E}" name="Result"/>
    <tableColumn id="12" xr3:uid="{9FFACCE5-53F7-4D04-BC31-EDEEB92D4B95}" name="Result_Margi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74D98B-E528-488A-A2D5-374DF79C6658}" name="Table2" displayName="Table2" ref="A1:I501" totalsRowShown="0" headerRowDxfId="8" headerRowBorderDxfId="7" tableBorderDxfId="6">
  <autoFilter ref="A1:I501" xr:uid="{00000000-0009-0000-0000-000001000000}"/>
  <tableColumns count="9">
    <tableColumn id="1" xr3:uid="{28CB937B-6106-4FB9-8ACF-BB789E08A9E0}" name="Match_ID"/>
    <tableColumn id="2" xr3:uid="{164ED619-C998-44D7-9D18-C0893CC6A9DD}" name="Season"/>
    <tableColumn id="3" xr3:uid="{CA360138-87CC-484E-BA28-8333D555A7EC}" name="Team"/>
    <tableColumn id="4" xr3:uid="{3B2AF649-3B6B-4AA2-BA55-72A63056F334}" name="Player"/>
    <tableColumn id="5" xr3:uid="{00471ED0-6042-4076-B2ED-E3A73E8D67B4}" name="Runs"/>
    <tableColumn id="6" xr3:uid="{B3D9135C-9277-4C58-88A5-3664B72DC7FA}" name="Balls"/>
    <tableColumn id="7" xr3:uid="{88533B40-5D04-4D1D-901B-FAF62C9FAF1D}" name="4s"/>
    <tableColumn id="8" xr3:uid="{D03CA2DC-10A8-4F00-AB00-3E43EEF31962}" name="6s"/>
    <tableColumn id="9" xr3:uid="{E3020B33-1DF0-4CB5-B4DB-FE2E880CF66C}" name="Strike_Rat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5D1D92-CF9F-42FC-83D4-096A6A20EB0A}" name="Table3" displayName="Table3" ref="A1:H501" totalsRowShown="0" headerRowDxfId="5" headerRowBorderDxfId="4" tableBorderDxfId="3">
  <autoFilter ref="A1:H501" xr:uid="{00000000-0009-0000-0000-000002000000}"/>
  <tableColumns count="8">
    <tableColumn id="1" xr3:uid="{D23E2DF0-D38C-47EA-96C3-3A56865E8FF8}" name="Match_ID"/>
    <tableColumn id="2" xr3:uid="{E180527F-C40C-4DED-8ACC-7B849D36E4CD}" name="Season"/>
    <tableColumn id="3" xr3:uid="{2FE16AD3-8F49-4682-9250-3D754CBBBCC3}" name="Team"/>
    <tableColumn id="4" xr3:uid="{24DE11D3-ACC5-4B73-954F-BF55497B4547}" name="Bowler"/>
    <tableColumn id="5" xr3:uid="{F25092D9-4991-4A5B-8DB0-51E3FA4100C5}" name="Overs"/>
    <tableColumn id="6" xr3:uid="{680B28EE-68DC-4431-9430-7D733F31DEE3}" name="Runs_Conceded"/>
    <tableColumn id="7" xr3:uid="{AEF44DD1-33D2-4E5A-9A9B-2AD49DF2AA19}" name="Wickets"/>
    <tableColumn id="8" xr3:uid="{CEBFD71E-A355-4C5C-B29F-26B772C075E1}" name="Econom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2A30FD-54D0-4DB1-9BF4-47C0980A36FC}" name="Table4" displayName="Table4" ref="A1:B11" totalsRowShown="0" headerRowDxfId="2" headerRowBorderDxfId="1" tableBorderDxfId="0">
  <autoFilter ref="A1:B11" xr:uid="{00000000-0009-0000-0000-000003000000}"/>
  <tableColumns count="2">
    <tableColumn id="1" xr3:uid="{D51B32DE-9C57-4868-ADC4-8D89135C888A}" name="Winner"/>
    <tableColumn id="2" xr3:uid="{0E85ADA3-2132-48A7-B8F6-29518AD345CA}" name="Win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A7344-71BD-4835-9104-1B7DD23DD8E6}">
  <dimension ref="A1"/>
  <sheetViews>
    <sheetView tabSelected="1" zoomScale="60" zoomScaleNormal="60" workbookViewId="0">
      <selection activeCell="AF9" sqref="AF9"/>
    </sheetView>
  </sheetViews>
  <sheetFormatPr defaultRowHeight="14.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4583-2CB2-495C-A418-B2EE97D52706}">
  <dimension ref="A3:N40"/>
  <sheetViews>
    <sheetView topLeftCell="A31" workbookViewId="0">
      <selection activeCell="B38" sqref="B38"/>
    </sheetView>
  </sheetViews>
  <sheetFormatPr defaultRowHeight="14.5"/>
  <cols>
    <col min="1" max="1" width="13.81640625" bestFit="1" customWidth="1"/>
    <col min="2" max="2" width="30.26953125" bestFit="1" customWidth="1"/>
    <col min="3" max="3" width="16.81640625" bestFit="1" customWidth="1"/>
    <col min="4" max="4" width="15.26953125" bestFit="1" customWidth="1"/>
    <col min="5" max="5" width="3.1796875" bestFit="1" customWidth="1"/>
    <col min="6" max="6" width="3.08984375" bestFit="1" customWidth="1"/>
    <col min="7" max="7" width="4.08984375" bestFit="1" customWidth="1"/>
    <col min="8" max="8" width="3.81640625" bestFit="1" customWidth="1"/>
    <col min="9" max="9" width="12.36328125" bestFit="1" customWidth="1"/>
    <col min="10" max="10" width="5" bestFit="1" customWidth="1"/>
    <col min="11" max="11" width="4.08984375" bestFit="1" customWidth="1"/>
    <col min="12" max="12" width="3" bestFit="1" customWidth="1"/>
    <col min="13" max="13" width="4.08984375" bestFit="1" customWidth="1"/>
    <col min="14" max="14" width="10.7265625" bestFit="1" customWidth="1"/>
  </cols>
  <sheetData>
    <row r="3" spans="1:10">
      <c r="A3" t="s">
        <v>608</v>
      </c>
      <c r="C3" s="15" t="s">
        <v>605</v>
      </c>
      <c r="D3" t="s">
        <v>612</v>
      </c>
      <c r="F3" s="15" t="s">
        <v>605</v>
      </c>
      <c r="G3" t="s">
        <v>615</v>
      </c>
      <c r="I3" s="15" t="s">
        <v>605</v>
      </c>
      <c r="J3" t="s">
        <v>607</v>
      </c>
    </row>
    <row r="4" spans="1:10">
      <c r="A4" s="14">
        <v>2960</v>
      </c>
      <c r="C4" s="16" t="s">
        <v>14</v>
      </c>
      <c r="D4" s="14">
        <v>47</v>
      </c>
      <c r="F4" s="16" t="s">
        <v>512</v>
      </c>
      <c r="G4" s="14">
        <v>40</v>
      </c>
      <c r="I4" s="16">
        <v>2021</v>
      </c>
      <c r="J4" s="14">
        <v>13</v>
      </c>
    </row>
    <row r="5" spans="1:10">
      <c r="C5" s="16" t="s">
        <v>32</v>
      </c>
      <c r="D5" s="14">
        <v>54</v>
      </c>
      <c r="F5" s="16" t="s">
        <v>41</v>
      </c>
      <c r="G5" s="14">
        <v>39</v>
      </c>
      <c r="I5" s="16">
        <v>2022</v>
      </c>
      <c r="J5" s="14">
        <v>12</v>
      </c>
    </row>
    <row r="6" spans="1:10">
      <c r="C6" s="16" t="s">
        <v>36</v>
      </c>
      <c r="D6" s="14">
        <v>49</v>
      </c>
      <c r="F6" s="16" t="s">
        <v>505</v>
      </c>
      <c r="G6" s="14">
        <v>39</v>
      </c>
      <c r="I6" s="16">
        <v>2023</v>
      </c>
      <c r="J6" s="14">
        <v>12</v>
      </c>
    </row>
    <row r="7" spans="1:10">
      <c r="A7" t="s">
        <v>609</v>
      </c>
      <c r="C7" s="16" t="s">
        <v>22</v>
      </c>
      <c r="D7" s="14">
        <v>56</v>
      </c>
      <c r="F7" s="16" t="s">
        <v>514</v>
      </c>
      <c r="G7" s="14">
        <v>38</v>
      </c>
      <c r="I7" s="16">
        <v>2024</v>
      </c>
      <c r="J7" s="14">
        <v>7</v>
      </c>
    </row>
    <row r="8" spans="1:10">
      <c r="A8" s="14">
        <v>260</v>
      </c>
      <c r="C8" s="16" t="s">
        <v>50</v>
      </c>
      <c r="D8" s="14">
        <v>58</v>
      </c>
      <c r="F8" s="16" t="s">
        <v>506</v>
      </c>
      <c r="G8" s="14">
        <v>35</v>
      </c>
      <c r="I8" s="16">
        <v>2025</v>
      </c>
      <c r="J8" s="14">
        <v>8</v>
      </c>
    </row>
    <row r="9" spans="1:10">
      <c r="C9" s="16" t="s">
        <v>21</v>
      </c>
      <c r="D9" s="14">
        <v>54</v>
      </c>
      <c r="F9" s="16" t="s">
        <v>510</v>
      </c>
      <c r="G9" s="14">
        <v>33</v>
      </c>
      <c r="I9" s="16" t="s">
        <v>606</v>
      </c>
      <c r="J9" s="14">
        <v>52</v>
      </c>
    </row>
    <row r="10" spans="1:10">
      <c r="C10" s="16" t="s">
        <v>47</v>
      </c>
      <c r="D10" s="14">
        <v>56</v>
      </c>
      <c r="F10" s="16" t="s">
        <v>511</v>
      </c>
      <c r="G10" s="14">
        <v>33</v>
      </c>
    </row>
    <row r="11" spans="1:10">
      <c r="A11" t="s">
        <v>610</v>
      </c>
      <c r="C11" s="16" t="s">
        <v>27</v>
      </c>
      <c r="D11" s="14">
        <v>36</v>
      </c>
      <c r="F11" s="16" t="s">
        <v>508</v>
      </c>
      <c r="G11" s="14">
        <v>33</v>
      </c>
      <c r="I11" s="15" t="s">
        <v>605</v>
      </c>
    </row>
    <row r="12" spans="1:10">
      <c r="A12" s="14">
        <v>155</v>
      </c>
      <c r="C12" s="16" t="s">
        <v>15</v>
      </c>
      <c r="D12" s="14">
        <v>49</v>
      </c>
      <c r="F12" s="16" t="s">
        <v>509</v>
      </c>
      <c r="G12" s="14">
        <v>32</v>
      </c>
      <c r="I12" s="16" t="s">
        <v>16</v>
      </c>
    </row>
    <row r="13" spans="1:10">
      <c r="C13" s="16" t="s">
        <v>56</v>
      </c>
      <c r="D13" s="14">
        <v>41</v>
      </c>
      <c r="F13" s="16" t="s">
        <v>518</v>
      </c>
      <c r="G13" s="14">
        <v>29</v>
      </c>
      <c r="I13" s="16" t="s">
        <v>28</v>
      </c>
    </row>
    <row r="14" spans="1:10">
      <c r="C14" s="16" t="s">
        <v>606</v>
      </c>
      <c r="D14" s="14">
        <v>500</v>
      </c>
      <c r="F14" s="16" t="s">
        <v>606</v>
      </c>
      <c r="G14" s="14">
        <v>351</v>
      </c>
      <c r="I14" s="16" t="s">
        <v>606</v>
      </c>
    </row>
    <row r="15" spans="1:10">
      <c r="A15" t="s">
        <v>611</v>
      </c>
    </row>
    <row r="16" spans="1:10">
      <c r="A16" s="14">
        <v>1222</v>
      </c>
    </row>
    <row r="17" spans="2:14">
      <c r="C17" s="15" t="s">
        <v>607</v>
      </c>
      <c r="D17" s="15" t="s">
        <v>613</v>
      </c>
    </row>
    <row r="18" spans="2:14">
      <c r="C18" s="15" t="s">
        <v>605</v>
      </c>
      <c r="D18" t="s">
        <v>14</v>
      </c>
      <c r="E18" t="s">
        <v>32</v>
      </c>
      <c r="F18" t="s">
        <v>36</v>
      </c>
      <c r="G18" t="s">
        <v>22</v>
      </c>
      <c r="H18" t="s">
        <v>50</v>
      </c>
      <c r="I18" t="s">
        <v>21</v>
      </c>
      <c r="J18" t="s">
        <v>47</v>
      </c>
      <c r="K18" t="s">
        <v>27</v>
      </c>
      <c r="L18" t="s">
        <v>15</v>
      </c>
      <c r="M18" t="s">
        <v>56</v>
      </c>
      <c r="N18" t="s">
        <v>606</v>
      </c>
    </row>
    <row r="19" spans="2:14">
      <c r="C19" s="16" t="s">
        <v>16</v>
      </c>
      <c r="D19" s="14">
        <v>1</v>
      </c>
      <c r="E19" s="14">
        <v>4</v>
      </c>
      <c r="F19" s="14"/>
      <c r="G19" s="14">
        <v>4</v>
      </c>
      <c r="H19" s="14">
        <v>4</v>
      </c>
      <c r="I19" s="14">
        <v>2</v>
      </c>
      <c r="J19" s="14">
        <v>4</v>
      </c>
      <c r="K19" s="14">
        <v>1</v>
      </c>
      <c r="L19" s="14">
        <v>5</v>
      </c>
      <c r="M19" s="14">
        <v>2</v>
      </c>
      <c r="N19" s="14">
        <v>27</v>
      </c>
    </row>
    <row r="20" spans="2:14">
      <c r="C20" s="16" t="s">
        <v>28</v>
      </c>
      <c r="D20" s="14">
        <v>2</v>
      </c>
      <c r="E20" s="14">
        <v>3</v>
      </c>
      <c r="F20" s="14">
        <v>5</v>
      </c>
      <c r="G20" s="14">
        <v>6</v>
      </c>
      <c r="H20" s="14">
        <v>1</v>
      </c>
      <c r="I20" s="14">
        <v>2</v>
      </c>
      <c r="J20" s="14">
        <v>2</v>
      </c>
      <c r="K20" s="14">
        <v>1</v>
      </c>
      <c r="L20" s="14">
        <v>1</v>
      </c>
      <c r="M20" s="14">
        <v>2</v>
      </c>
      <c r="N20" s="14">
        <v>25</v>
      </c>
    </row>
    <row r="21" spans="2:14">
      <c r="C21" s="16" t="s">
        <v>606</v>
      </c>
      <c r="D21" s="14">
        <v>3</v>
      </c>
      <c r="E21" s="14">
        <v>7</v>
      </c>
      <c r="F21" s="14">
        <v>5</v>
      </c>
      <c r="G21" s="14">
        <v>10</v>
      </c>
      <c r="H21" s="14">
        <v>5</v>
      </c>
      <c r="I21" s="14">
        <v>4</v>
      </c>
      <c r="J21" s="14">
        <v>6</v>
      </c>
      <c r="K21" s="14">
        <v>2</v>
      </c>
      <c r="L21" s="14">
        <v>6</v>
      </c>
      <c r="M21" s="14">
        <v>4</v>
      </c>
      <c r="N21" s="14">
        <v>52</v>
      </c>
    </row>
    <row r="24" spans="2:14">
      <c r="B24" s="15" t="s">
        <v>605</v>
      </c>
      <c r="C24" t="s">
        <v>614</v>
      </c>
    </row>
    <row r="25" spans="2:14">
      <c r="B25" s="16" t="s">
        <v>29</v>
      </c>
      <c r="C25" s="14">
        <v>6</v>
      </c>
    </row>
    <row r="26" spans="2:14">
      <c r="B26" s="16" t="s">
        <v>57</v>
      </c>
      <c r="C26" s="14">
        <v>6</v>
      </c>
    </row>
    <row r="27" spans="2:14">
      <c r="B27" s="16" t="s">
        <v>39</v>
      </c>
      <c r="C27" s="14">
        <v>5</v>
      </c>
    </row>
    <row r="28" spans="2:14">
      <c r="B28" s="16" t="s">
        <v>62</v>
      </c>
      <c r="C28" s="14">
        <v>4</v>
      </c>
    </row>
    <row r="29" spans="2:14">
      <c r="B29" s="16" t="s">
        <v>44</v>
      </c>
      <c r="C29" s="14">
        <v>4</v>
      </c>
    </row>
    <row r="30" spans="2:14">
      <c r="B30" s="16" t="s">
        <v>23</v>
      </c>
      <c r="C30" s="14">
        <v>4</v>
      </c>
    </row>
    <row r="31" spans="2:14">
      <c r="B31" s="16" t="s">
        <v>33</v>
      </c>
      <c r="C31" s="14">
        <v>3</v>
      </c>
    </row>
    <row r="32" spans="2:14">
      <c r="B32" s="16" t="s">
        <v>116</v>
      </c>
      <c r="C32" s="14">
        <v>3</v>
      </c>
    </row>
    <row r="33" spans="2:3">
      <c r="B33" s="16" t="s">
        <v>17</v>
      </c>
      <c r="C33" s="14">
        <v>3</v>
      </c>
    </row>
    <row r="34" spans="2:3">
      <c r="B34" s="16" t="s">
        <v>53</v>
      </c>
      <c r="C34" s="14">
        <v>3</v>
      </c>
    </row>
    <row r="35" spans="2:3">
      <c r="B35" s="16" t="s">
        <v>606</v>
      </c>
      <c r="C35" s="14">
        <v>41</v>
      </c>
    </row>
    <row r="38" spans="2:3">
      <c r="B38" s="15" t="s">
        <v>605</v>
      </c>
      <c r="C38" t="s">
        <v>607</v>
      </c>
    </row>
    <row r="39" spans="2:3">
      <c r="B39" s="16" t="s">
        <v>43</v>
      </c>
      <c r="C39" s="14">
        <v>52</v>
      </c>
    </row>
    <row r="40" spans="2:3">
      <c r="B40" s="16" t="s">
        <v>606</v>
      </c>
      <c r="C40" s="14">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FEA9-3383-4A9A-A72C-668B3CB3B877}">
  <dimension ref="A1:B118"/>
  <sheetViews>
    <sheetView topLeftCell="A71" zoomScale="140" zoomScaleNormal="140" workbookViewId="0">
      <selection activeCell="D13" sqref="D13"/>
    </sheetView>
  </sheetViews>
  <sheetFormatPr defaultRowHeight="14.5"/>
  <cols>
    <col min="1" max="1" width="12.7265625" bestFit="1" customWidth="1"/>
    <col min="2" max="2" width="16.6328125" bestFit="1" customWidth="1"/>
  </cols>
  <sheetData>
    <row r="1" spans="1:2" ht="23.5">
      <c r="A1" s="5" t="s">
        <v>545</v>
      </c>
    </row>
    <row r="3" spans="1:2" ht="17.5">
      <c r="A3" s="6" t="s">
        <v>546</v>
      </c>
    </row>
    <row r="5" spans="1:2">
      <c r="A5" t="s">
        <v>547</v>
      </c>
    </row>
    <row r="7" spans="1:2">
      <c r="A7" s="7" t="s">
        <v>548</v>
      </c>
      <c r="B7" s="7" t="s">
        <v>549</v>
      </c>
    </row>
    <row r="8" spans="1:2">
      <c r="A8" s="9" t="s">
        <v>523</v>
      </c>
      <c r="B8" s="8" t="s">
        <v>550</v>
      </c>
    </row>
    <row r="9" spans="1:2">
      <c r="A9" s="9" t="s">
        <v>524</v>
      </c>
      <c r="B9" s="8" t="s">
        <v>551</v>
      </c>
    </row>
    <row r="10" spans="1:2">
      <c r="A10" s="9" t="s">
        <v>525</v>
      </c>
      <c r="B10" s="8" t="s">
        <v>552</v>
      </c>
    </row>
    <row r="11" spans="1:2">
      <c r="A11" s="9" t="s">
        <v>526</v>
      </c>
      <c r="B11" s="8" t="s">
        <v>553</v>
      </c>
    </row>
    <row r="12" spans="1:2">
      <c r="A12" s="9" t="s">
        <v>527</v>
      </c>
      <c r="B12" s="8" t="s">
        <v>554</v>
      </c>
    </row>
    <row r="15" spans="1:2" ht="17.5">
      <c r="A15" s="6" t="s">
        <v>555</v>
      </c>
    </row>
    <row r="17" spans="1:1">
      <c r="A17" s="10" t="s">
        <v>556</v>
      </c>
    </row>
    <row r="18" spans="1:1">
      <c r="A18" t="s">
        <v>557</v>
      </c>
    </row>
    <row r="19" spans="1:1">
      <c r="A19" s="11"/>
    </row>
    <row r="20" spans="1:1">
      <c r="A20" s="11" t="s">
        <v>558</v>
      </c>
    </row>
    <row r="21" spans="1:1">
      <c r="A21" s="11" t="s">
        <v>559</v>
      </c>
    </row>
    <row r="23" spans="1:1">
      <c r="A23" t="s">
        <v>560</v>
      </c>
    </row>
    <row r="25" spans="1:1">
      <c r="A25" s="10" t="s">
        <v>561</v>
      </c>
    </row>
    <row r="26" spans="1:1">
      <c r="A26" t="s">
        <v>562</v>
      </c>
    </row>
    <row r="27" spans="1:1">
      <c r="A27" s="11"/>
    </row>
    <row r="28" spans="1:1">
      <c r="A28" s="11" t="s">
        <v>563</v>
      </c>
    </row>
    <row r="29" spans="1:1">
      <c r="A29" s="11" t="s">
        <v>564</v>
      </c>
    </row>
    <row r="33" spans="1:1" ht="17.5">
      <c r="A33" s="6" t="s">
        <v>565</v>
      </c>
    </row>
    <row r="35" spans="1:1">
      <c r="A35" s="10" t="s">
        <v>566</v>
      </c>
    </row>
    <row r="36" spans="1:1">
      <c r="A36" t="s">
        <v>557</v>
      </c>
    </row>
    <row r="37" spans="1:1">
      <c r="A37" s="11"/>
    </row>
    <row r="38" spans="1:1">
      <c r="A38" s="11" t="s">
        <v>496</v>
      </c>
    </row>
    <row r="39" spans="1:1">
      <c r="A39" s="11" t="s">
        <v>524</v>
      </c>
    </row>
    <row r="41" spans="1:1">
      <c r="A41" s="10" t="s">
        <v>567</v>
      </c>
    </row>
    <row r="42" spans="1:1">
      <c r="A42" t="s">
        <v>557</v>
      </c>
    </row>
    <row r="43" spans="1:1">
      <c r="A43" s="11"/>
    </row>
    <row r="44" spans="1:1">
      <c r="A44" s="11" t="s">
        <v>501</v>
      </c>
    </row>
    <row r="45" spans="1:1">
      <c r="A45" s="11" t="s">
        <v>527</v>
      </c>
    </row>
    <row r="47" spans="1:1">
      <c r="A47" t="s">
        <v>568</v>
      </c>
    </row>
    <row r="51" spans="1:1" ht="17.5">
      <c r="A51" s="6" t="s">
        <v>569</v>
      </c>
    </row>
    <row r="53" spans="1:1">
      <c r="A53" s="10" t="s">
        <v>570</v>
      </c>
    </row>
    <row r="54" spans="1:1">
      <c r="A54" t="s">
        <v>571</v>
      </c>
    </row>
    <row r="56" spans="1:1">
      <c r="A56" t="s">
        <v>572</v>
      </c>
    </row>
    <row r="57" spans="1:1">
      <c r="A57" s="11"/>
    </row>
    <row r="58" spans="1:1">
      <c r="A58" s="11" t="s">
        <v>16</v>
      </c>
    </row>
    <row r="59" spans="1:1">
      <c r="A59" s="11" t="s">
        <v>28</v>
      </c>
    </row>
    <row r="61" spans="1:1">
      <c r="A61" t="s">
        <v>573</v>
      </c>
    </row>
    <row r="63" spans="1:1">
      <c r="A63" s="10" t="s">
        <v>574</v>
      </c>
    </row>
    <row r="64" spans="1:1">
      <c r="A64" t="s">
        <v>575</v>
      </c>
    </row>
    <row r="66" spans="1:1">
      <c r="A66" t="s">
        <v>576</v>
      </c>
    </row>
    <row r="70" spans="1:1" ht="23.5">
      <c r="A70" s="5" t="s">
        <v>577</v>
      </c>
    </row>
    <row r="72" spans="1:1">
      <c r="A72" t="s">
        <v>578</v>
      </c>
    </row>
    <row r="74" spans="1:1">
      <c r="A74" s="10" t="s">
        <v>579</v>
      </c>
    </row>
    <row r="76" spans="1:1">
      <c r="A76" t="s">
        <v>580</v>
      </c>
    </row>
    <row r="78" spans="1:1">
      <c r="A78" s="12" t="s">
        <v>581</v>
      </c>
    </row>
    <row r="80" spans="1:1">
      <c r="A80" t="s">
        <v>582</v>
      </c>
    </row>
    <row r="84" spans="1:1" ht="23.5">
      <c r="A84" s="5" t="s">
        <v>583</v>
      </c>
    </row>
    <row r="85" spans="1:1">
      <c r="A85" s="4"/>
    </row>
    <row r="86" spans="1:1">
      <c r="A86" s="13" t="s">
        <v>584</v>
      </c>
    </row>
    <row r="87" spans="1:1">
      <c r="A87" s="13" t="s">
        <v>585</v>
      </c>
    </row>
    <row r="88" spans="1:1">
      <c r="A88" s="4"/>
    </row>
    <row r="89" spans="1:1">
      <c r="A89" s="13" t="s">
        <v>586</v>
      </c>
    </row>
    <row r="90" spans="1:1">
      <c r="A90" s="13" t="s">
        <v>587</v>
      </c>
    </row>
    <row r="91" spans="1:1">
      <c r="A91" s="13" t="s">
        <v>588</v>
      </c>
    </row>
    <row r="92" spans="1:1">
      <c r="A92" s="4"/>
    </row>
    <row r="93" spans="1:1">
      <c r="A93" s="13" t="s">
        <v>589</v>
      </c>
    </row>
    <row r="94" spans="1:1">
      <c r="A94" s="13" t="s">
        <v>590</v>
      </c>
    </row>
    <row r="95" spans="1:1">
      <c r="A95" s="13" t="s">
        <v>591</v>
      </c>
    </row>
    <row r="96" spans="1:1">
      <c r="A96" s="13" t="s">
        <v>592</v>
      </c>
    </row>
    <row r="97" spans="1:1">
      <c r="A97" s="4"/>
    </row>
    <row r="98" spans="1:1">
      <c r="A98" s="13" t="s">
        <v>589</v>
      </c>
    </row>
    <row r="99" spans="1:1">
      <c r="A99" s="13" t="s">
        <v>593</v>
      </c>
    </row>
    <row r="100" spans="1:1">
      <c r="A100" s="13" t="s">
        <v>594</v>
      </c>
    </row>
    <row r="101" spans="1:1">
      <c r="A101" s="13" t="s">
        <v>592</v>
      </c>
    </row>
    <row r="102" spans="1:1">
      <c r="A102" s="4"/>
    </row>
    <row r="103" spans="1:1">
      <c r="A103" s="13" t="s">
        <v>589</v>
      </c>
    </row>
    <row r="104" spans="1:1">
      <c r="A104" s="13" t="s">
        <v>595</v>
      </c>
    </row>
    <row r="105" spans="1:1">
      <c r="A105" s="13" t="s">
        <v>596</v>
      </c>
    </row>
    <row r="106" spans="1:1">
      <c r="A106" s="13" t="s">
        <v>592</v>
      </c>
    </row>
    <row r="108" spans="1:1" ht="17.5">
      <c r="A108" s="6" t="s">
        <v>597</v>
      </c>
    </row>
    <row r="110" spans="1:1">
      <c r="A110" t="s">
        <v>598</v>
      </c>
    </row>
    <row r="111" spans="1:1">
      <c r="A111" s="11"/>
    </row>
    <row r="112" spans="1:1">
      <c r="A112" s="11" t="s">
        <v>599</v>
      </c>
    </row>
    <row r="113" spans="1:1">
      <c r="A113" s="11" t="s">
        <v>600</v>
      </c>
    </row>
    <row r="114" spans="1:1">
      <c r="A114" s="11" t="s">
        <v>601</v>
      </c>
    </row>
    <row r="115" spans="1:1">
      <c r="A115" s="11" t="s">
        <v>602</v>
      </c>
    </row>
    <row r="116" spans="1:1">
      <c r="A116" s="11" t="s">
        <v>603</v>
      </c>
    </row>
    <row r="118" spans="1:1">
      <c r="A118" t="s">
        <v>604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7152-C375-4065-9B93-460355B35692}">
  <dimension ref="A1"/>
  <sheetViews>
    <sheetView workbookViewId="0"/>
  </sheetViews>
  <sheetFormatPr defaultRowHeight="14.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
  <sheetViews>
    <sheetView workbookViewId="0">
      <pane ySplit="1" topLeftCell="A2" activePane="bottomLeft" state="frozen"/>
      <selection pane="bottomLeft" activeCell="B2" sqref="B2"/>
    </sheetView>
  </sheetViews>
  <sheetFormatPr defaultRowHeight="14.5"/>
  <cols>
    <col min="1" max="1" width="18.36328125" bestFit="1" customWidth="1"/>
    <col min="2" max="2" width="28" customWidth="1"/>
  </cols>
  <sheetData>
    <row r="1" spans="1:2">
      <c r="A1" s="1" t="s">
        <v>521</v>
      </c>
      <c r="B1" s="1" t="s">
        <v>522</v>
      </c>
    </row>
    <row r="2" spans="1:2">
      <c r="A2" t="s">
        <v>523</v>
      </c>
      <c r="B2">
        <f>COUNTA(Matches!A2:A501)</f>
        <v>500</v>
      </c>
    </row>
    <row r="3" spans="1:2">
      <c r="A3" t="s">
        <v>524</v>
      </c>
      <c r="B3">
        <f>SUM(Batting_Data!E2:E501)</f>
        <v>23463</v>
      </c>
    </row>
    <row r="4" spans="1:2">
      <c r="A4" t="s">
        <v>525</v>
      </c>
      <c r="B4">
        <f>SUM(Batting_Data!G2:G501)</f>
        <v>2269</v>
      </c>
    </row>
    <row r="5" spans="1:2">
      <c r="A5" t="s">
        <v>526</v>
      </c>
      <c r="B5">
        <f>SUM(Batting_Data!H2:H501)</f>
        <v>1219</v>
      </c>
    </row>
    <row r="6" spans="1:2">
      <c r="A6" t="s">
        <v>527</v>
      </c>
      <c r="B6">
        <f>SUM(Bowling_Data!G2:G501)</f>
        <v>1222</v>
      </c>
    </row>
  </sheetData>
  <autoFilter ref="A1:B6" xr:uid="{00000000-0009-0000-0000-000007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7060A-73F0-4C77-8979-DA60ADD7B3D7}">
  <dimension ref="Q5:S8"/>
  <sheetViews>
    <sheetView workbookViewId="0"/>
  </sheetViews>
  <sheetFormatPr defaultRowHeight="14.5"/>
  <cols>
    <col min="1" max="16384" width="8.7265625" style="17"/>
  </cols>
  <sheetData>
    <row r="5" spans="17:19">
      <c r="Q5"/>
    </row>
    <row r="8" spans="17:19">
      <c r="S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pane ySplit="1" topLeftCell="A2" activePane="bottomLeft" state="frozen"/>
      <selection pane="bottomLeft" activeCell="D1" sqref="A1:L501"/>
    </sheetView>
  </sheetViews>
  <sheetFormatPr defaultRowHeight="14.5"/>
  <cols>
    <col min="1" max="1" width="13.54296875" bestFit="1" customWidth="1"/>
    <col min="2" max="2" width="11.26953125" bestFit="1" customWidth="1"/>
    <col min="3" max="3" width="10.08984375" bestFit="1" customWidth="1"/>
    <col min="4" max="4" width="30.26953125" bestFit="1" customWidth="1"/>
    <col min="5" max="6" width="11" bestFit="1" customWidth="1"/>
    <col min="7" max="7" width="16.26953125" bestFit="1" customWidth="1"/>
    <col min="8" max="8" width="17.08984375" bestFit="1" customWidth="1"/>
    <col min="9" max="9" width="11.54296875" bestFit="1" customWidth="1"/>
    <col min="10" max="10" width="19.7265625" bestFit="1" customWidth="1"/>
    <col min="11" max="11" width="10.54296875" bestFit="1" customWidth="1"/>
    <col min="12" max="12" width="17.54296875" bestFit="1" customWidth="1"/>
  </cols>
  <sheetData>
    <row r="1" spans="1:12">
      <c r="A1" s="2" t="s">
        <v>0</v>
      </c>
      <c r="B1" s="3" t="s">
        <v>1</v>
      </c>
      <c r="C1" s="3" t="s">
        <v>2</v>
      </c>
      <c r="D1" s="3" t="s">
        <v>3</v>
      </c>
      <c r="E1" s="3" t="s">
        <v>4</v>
      </c>
      <c r="F1" s="3" t="s">
        <v>5</v>
      </c>
      <c r="G1" s="3" t="s">
        <v>6</v>
      </c>
      <c r="H1" s="3" t="s">
        <v>7</v>
      </c>
      <c r="I1" s="3" t="s">
        <v>8</v>
      </c>
      <c r="J1" s="3" t="s">
        <v>9</v>
      </c>
      <c r="K1" s="3" t="s">
        <v>10</v>
      </c>
      <c r="L1" s="3" t="s">
        <v>11</v>
      </c>
    </row>
    <row r="2" spans="1:12">
      <c r="A2">
        <v>1</v>
      </c>
      <c r="B2">
        <v>2021</v>
      </c>
      <c r="C2" t="s">
        <v>12</v>
      </c>
      <c r="D2" t="s">
        <v>13</v>
      </c>
      <c r="E2" t="s">
        <v>14</v>
      </c>
      <c r="F2" t="s">
        <v>15</v>
      </c>
      <c r="G2" t="s">
        <v>14</v>
      </c>
      <c r="H2" t="s">
        <v>16</v>
      </c>
      <c r="I2" t="s">
        <v>14</v>
      </c>
      <c r="J2" t="s">
        <v>17</v>
      </c>
      <c r="K2" t="s">
        <v>18</v>
      </c>
      <c r="L2">
        <v>76</v>
      </c>
    </row>
    <row r="3" spans="1:12">
      <c r="A3">
        <v>2</v>
      </c>
      <c r="B3">
        <v>2021</v>
      </c>
      <c r="C3" t="s">
        <v>19</v>
      </c>
      <c r="D3" t="s">
        <v>20</v>
      </c>
      <c r="E3" t="s">
        <v>21</v>
      </c>
      <c r="F3" t="s">
        <v>22</v>
      </c>
      <c r="G3" t="s">
        <v>21</v>
      </c>
      <c r="H3" t="s">
        <v>16</v>
      </c>
      <c r="I3" t="s">
        <v>21</v>
      </c>
      <c r="J3" t="s">
        <v>23</v>
      </c>
      <c r="K3" t="s">
        <v>24</v>
      </c>
      <c r="L3">
        <v>4</v>
      </c>
    </row>
    <row r="4" spans="1:12">
      <c r="A4">
        <v>3</v>
      </c>
      <c r="B4">
        <v>2023</v>
      </c>
      <c r="C4" t="s">
        <v>25</v>
      </c>
      <c r="D4" t="s">
        <v>26</v>
      </c>
      <c r="E4" t="s">
        <v>14</v>
      </c>
      <c r="F4" t="s">
        <v>27</v>
      </c>
      <c r="G4" t="s">
        <v>27</v>
      </c>
      <c r="H4" t="s">
        <v>28</v>
      </c>
      <c r="I4" t="s">
        <v>27</v>
      </c>
      <c r="J4" t="s">
        <v>29</v>
      </c>
      <c r="K4" t="s">
        <v>18</v>
      </c>
      <c r="L4">
        <v>98</v>
      </c>
    </row>
    <row r="5" spans="1:12">
      <c r="A5">
        <v>4</v>
      </c>
      <c r="B5">
        <v>2021</v>
      </c>
      <c r="C5" t="s">
        <v>30</v>
      </c>
      <c r="D5" t="s">
        <v>31</v>
      </c>
      <c r="E5" t="s">
        <v>32</v>
      </c>
      <c r="F5" t="s">
        <v>21</v>
      </c>
      <c r="G5" t="s">
        <v>21</v>
      </c>
      <c r="H5" t="s">
        <v>28</v>
      </c>
      <c r="I5" t="s">
        <v>21</v>
      </c>
      <c r="J5" t="s">
        <v>33</v>
      </c>
      <c r="K5" t="s">
        <v>24</v>
      </c>
      <c r="L5">
        <v>9</v>
      </c>
    </row>
    <row r="6" spans="1:12">
      <c r="A6">
        <v>5</v>
      </c>
      <c r="B6">
        <v>2021</v>
      </c>
      <c r="C6" t="s">
        <v>34</v>
      </c>
      <c r="D6" t="s">
        <v>35</v>
      </c>
      <c r="E6" t="s">
        <v>36</v>
      </c>
      <c r="F6" t="s">
        <v>15</v>
      </c>
      <c r="G6" t="s">
        <v>15</v>
      </c>
      <c r="H6" t="s">
        <v>16</v>
      </c>
      <c r="I6" t="s">
        <v>36</v>
      </c>
      <c r="J6" t="s">
        <v>33</v>
      </c>
      <c r="K6" t="s">
        <v>18</v>
      </c>
      <c r="L6">
        <v>99</v>
      </c>
    </row>
    <row r="7" spans="1:12">
      <c r="A7">
        <v>6</v>
      </c>
      <c r="B7">
        <v>2022</v>
      </c>
      <c r="C7" t="s">
        <v>37</v>
      </c>
      <c r="D7" t="s">
        <v>38</v>
      </c>
      <c r="E7" t="s">
        <v>21</v>
      </c>
      <c r="F7" t="s">
        <v>32</v>
      </c>
      <c r="G7" t="s">
        <v>32</v>
      </c>
      <c r="H7" t="s">
        <v>28</v>
      </c>
      <c r="I7" t="s">
        <v>32</v>
      </c>
      <c r="J7" t="s">
        <v>39</v>
      </c>
      <c r="K7" t="s">
        <v>24</v>
      </c>
      <c r="L7">
        <v>6</v>
      </c>
    </row>
    <row r="8" spans="1:12">
      <c r="A8">
        <v>7</v>
      </c>
      <c r="B8">
        <v>2023</v>
      </c>
      <c r="C8" t="s">
        <v>40</v>
      </c>
      <c r="D8" t="s">
        <v>38</v>
      </c>
      <c r="E8" t="s">
        <v>21</v>
      </c>
      <c r="F8" t="s">
        <v>27</v>
      </c>
      <c r="G8" t="s">
        <v>21</v>
      </c>
      <c r="H8" t="s">
        <v>16</v>
      </c>
      <c r="I8" t="s">
        <v>27</v>
      </c>
      <c r="J8" t="s">
        <v>41</v>
      </c>
      <c r="K8" t="s">
        <v>24</v>
      </c>
      <c r="L8">
        <v>9</v>
      </c>
    </row>
    <row r="9" spans="1:12">
      <c r="A9">
        <v>8</v>
      </c>
      <c r="B9">
        <v>2023</v>
      </c>
      <c r="C9" t="s">
        <v>42</v>
      </c>
      <c r="D9" t="s">
        <v>43</v>
      </c>
      <c r="E9" t="s">
        <v>14</v>
      </c>
      <c r="F9" t="s">
        <v>22</v>
      </c>
      <c r="G9" t="s">
        <v>14</v>
      </c>
      <c r="H9" t="s">
        <v>28</v>
      </c>
      <c r="I9" t="s">
        <v>22</v>
      </c>
      <c r="J9" t="s">
        <v>44</v>
      </c>
      <c r="K9" t="s">
        <v>18</v>
      </c>
      <c r="L9">
        <v>28</v>
      </c>
    </row>
    <row r="10" spans="1:12">
      <c r="A10">
        <v>9</v>
      </c>
      <c r="B10">
        <v>2023</v>
      </c>
      <c r="C10" t="s">
        <v>45</v>
      </c>
      <c r="D10" t="s">
        <v>46</v>
      </c>
      <c r="E10" t="s">
        <v>22</v>
      </c>
      <c r="F10" t="s">
        <v>47</v>
      </c>
      <c r="G10" t="s">
        <v>47</v>
      </c>
      <c r="H10" t="s">
        <v>28</v>
      </c>
      <c r="I10" t="s">
        <v>22</v>
      </c>
      <c r="J10" t="s">
        <v>44</v>
      </c>
      <c r="K10" t="s">
        <v>18</v>
      </c>
      <c r="L10">
        <v>32</v>
      </c>
    </row>
    <row r="11" spans="1:12">
      <c r="A11">
        <v>10</v>
      </c>
      <c r="B11">
        <v>2023</v>
      </c>
      <c r="C11" t="s">
        <v>48</v>
      </c>
      <c r="D11" t="s">
        <v>49</v>
      </c>
      <c r="E11" t="s">
        <v>50</v>
      </c>
      <c r="F11" t="s">
        <v>32</v>
      </c>
      <c r="G11" t="s">
        <v>32</v>
      </c>
      <c r="H11" t="s">
        <v>28</v>
      </c>
      <c r="I11" t="s">
        <v>50</v>
      </c>
      <c r="J11" t="s">
        <v>29</v>
      </c>
      <c r="K11" t="s">
        <v>24</v>
      </c>
      <c r="L11">
        <v>2</v>
      </c>
    </row>
    <row r="12" spans="1:12">
      <c r="A12">
        <v>11</v>
      </c>
      <c r="B12">
        <v>2021</v>
      </c>
      <c r="C12" t="s">
        <v>51</v>
      </c>
      <c r="D12" t="s">
        <v>35</v>
      </c>
      <c r="E12" t="s">
        <v>27</v>
      </c>
      <c r="F12" t="s">
        <v>50</v>
      </c>
      <c r="G12" t="s">
        <v>50</v>
      </c>
      <c r="H12" t="s">
        <v>16</v>
      </c>
      <c r="I12" t="s">
        <v>50</v>
      </c>
      <c r="J12" t="s">
        <v>41</v>
      </c>
      <c r="K12" t="s">
        <v>24</v>
      </c>
      <c r="L12">
        <v>9</v>
      </c>
    </row>
    <row r="13" spans="1:12">
      <c r="A13">
        <v>12</v>
      </c>
      <c r="B13">
        <v>2021</v>
      </c>
      <c r="C13" t="s">
        <v>52</v>
      </c>
      <c r="D13" t="s">
        <v>20</v>
      </c>
      <c r="E13" t="s">
        <v>21</v>
      </c>
      <c r="F13" t="s">
        <v>36</v>
      </c>
      <c r="G13" t="s">
        <v>36</v>
      </c>
      <c r="H13" t="s">
        <v>28</v>
      </c>
      <c r="I13" t="s">
        <v>21</v>
      </c>
      <c r="J13" t="s">
        <v>53</v>
      </c>
      <c r="K13" t="s">
        <v>24</v>
      </c>
      <c r="L13">
        <v>3</v>
      </c>
    </row>
    <row r="14" spans="1:12">
      <c r="A14">
        <v>13</v>
      </c>
      <c r="B14">
        <v>2023</v>
      </c>
      <c r="C14" t="s">
        <v>54</v>
      </c>
      <c r="D14" t="s">
        <v>46</v>
      </c>
      <c r="E14" t="s">
        <v>36</v>
      </c>
      <c r="F14" t="s">
        <v>27</v>
      </c>
      <c r="G14" t="s">
        <v>36</v>
      </c>
      <c r="H14" t="s">
        <v>28</v>
      </c>
      <c r="I14" t="s">
        <v>36</v>
      </c>
      <c r="J14" t="s">
        <v>29</v>
      </c>
      <c r="K14" t="s">
        <v>24</v>
      </c>
      <c r="L14">
        <v>3</v>
      </c>
    </row>
    <row r="15" spans="1:12">
      <c r="A15">
        <v>14</v>
      </c>
      <c r="B15">
        <v>2025</v>
      </c>
      <c r="C15" t="s">
        <v>55</v>
      </c>
      <c r="D15" t="s">
        <v>49</v>
      </c>
      <c r="E15" t="s">
        <v>14</v>
      </c>
      <c r="F15" t="s">
        <v>56</v>
      </c>
      <c r="G15" t="s">
        <v>56</v>
      </c>
      <c r="H15" t="s">
        <v>16</v>
      </c>
      <c r="I15" t="s">
        <v>14</v>
      </c>
      <c r="J15" t="s">
        <v>57</v>
      </c>
      <c r="K15" t="s">
        <v>24</v>
      </c>
      <c r="L15">
        <v>4</v>
      </c>
    </row>
    <row r="16" spans="1:12">
      <c r="A16">
        <v>15</v>
      </c>
      <c r="B16">
        <v>2025</v>
      </c>
      <c r="C16" t="s">
        <v>58</v>
      </c>
      <c r="D16" t="s">
        <v>59</v>
      </c>
      <c r="E16" t="s">
        <v>21</v>
      </c>
      <c r="F16" t="s">
        <v>50</v>
      </c>
      <c r="G16" t="s">
        <v>50</v>
      </c>
      <c r="H16" t="s">
        <v>16</v>
      </c>
      <c r="I16" t="s">
        <v>21</v>
      </c>
      <c r="J16" t="s">
        <v>29</v>
      </c>
      <c r="K16" t="s">
        <v>24</v>
      </c>
      <c r="L16">
        <v>9</v>
      </c>
    </row>
    <row r="17" spans="1:12">
      <c r="A17">
        <v>16</v>
      </c>
      <c r="B17">
        <v>2025</v>
      </c>
      <c r="C17" t="s">
        <v>60</v>
      </c>
      <c r="D17" t="s">
        <v>46</v>
      </c>
      <c r="E17" t="s">
        <v>50</v>
      </c>
      <c r="F17" t="s">
        <v>32</v>
      </c>
      <c r="G17" t="s">
        <v>50</v>
      </c>
      <c r="H17" t="s">
        <v>16</v>
      </c>
      <c r="I17" t="s">
        <v>32</v>
      </c>
      <c r="J17" t="s">
        <v>41</v>
      </c>
      <c r="K17" t="s">
        <v>24</v>
      </c>
      <c r="L17">
        <v>8</v>
      </c>
    </row>
    <row r="18" spans="1:12">
      <c r="A18">
        <v>17</v>
      </c>
      <c r="B18">
        <v>2021</v>
      </c>
      <c r="C18" t="s">
        <v>61</v>
      </c>
      <c r="D18" t="s">
        <v>38</v>
      </c>
      <c r="E18" t="s">
        <v>22</v>
      </c>
      <c r="F18" t="s">
        <v>50</v>
      </c>
      <c r="G18" t="s">
        <v>22</v>
      </c>
      <c r="H18" t="s">
        <v>28</v>
      </c>
      <c r="I18" t="s">
        <v>22</v>
      </c>
      <c r="J18" t="s">
        <v>62</v>
      </c>
      <c r="K18" t="s">
        <v>18</v>
      </c>
      <c r="L18">
        <v>76</v>
      </c>
    </row>
    <row r="19" spans="1:12">
      <c r="A19">
        <v>18</v>
      </c>
      <c r="B19">
        <v>2021</v>
      </c>
      <c r="C19" t="s">
        <v>63</v>
      </c>
      <c r="D19" t="s">
        <v>20</v>
      </c>
      <c r="E19" t="s">
        <v>14</v>
      </c>
      <c r="F19" t="s">
        <v>22</v>
      </c>
      <c r="G19" t="s">
        <v>14</v>
      </c>
      <c r="H19" t="s">
        <v>16</v>
      </c>
      <c r="I19" t="s">
        <v>22</v>
      </c>
      <c r="J19" t="s">
        <v>64</v>
      </c>
      <c r="K19" t="s">
        <v>18</v>
      </c>
      <c r="L19">
        <v>36</v>
      </c>
    </row>
    <row r="20" spans="1:12">
      <c r="A20">
        <v>19</v>
      </c>
      <c r="B20">
        <v>2025</v>
      </c>
      <c r="C20" t="s">
        <v>65</v>
      </c>
      <c r="D20" t="s">
        <v>13</v>
      </c>
      <c r="E20" t="s">
        <v>27</v>
      </c>
      <c r="F20" t="s">
        <v>47</v>
      </c>
      <c r="G20" t="s">
        <v>27</v>
      </c>
      <c r="H20" t="s">
        <v>28</v>
      </c>
      <c r="I20" t="s">
        <v>47</v>
      </c>
      <c r="J20" t="s">
        <v>66</v>
      </c>
      <c r="K20" t="s">
        <v>18</v>
      </c>
      <c r="L20">
        <v>13</v>
      </c>
    </row>
    <row r="21" spans="1:12">
      <c r="A21">
        <v>20</v>
      </c>
      <c r="B21">
        <v>2024</v>
      </c>
      <c r="C21" t="s">
        <v>67</v>
      </c>
      <c r="D21" t="s">
        <v>38</v>
      </c>
      <c r="E21" t="s">
        <v>32</v>
      </c>
      <c r="F21" t="s">
        <v>47</v>
      </c>
      <c r="G21" t="s">
        <v>32</v>
      </c>
      <c r="H21" t="s">
        <v>16</v>
      </c>
      <c r="I21" t="s">
        <v>32</v>
      </c>
      <c r="J21" t="s">
        <v>41</v>
      </c>
      <c r="K21" t="s">
        <v>24</v>
      </c>
      <c r="L21">
        <v>2</v>
      </c>
    </row>
    <row r="22" spans="1:12">
      <c r="A22">
        <v>21</v>
      </c>
      <c r="B22">
        <v>2022</v>
      </c>
      <c r="C22" t="s">
        <v>68</v>
      </c>
      <c r="D22" t="s">
        <v>31</v>
      </c>
      <c r="E22" t="s">
        <v>36</v>
      </c>
      <c r="F22" t="s">
        <v>47</v>
      </c>
      <c r="G22" t="s">
        <v>36</v>
      </c>
      <c r="H22" t="s">
        <v>28</v>
      </c>
      <c r="I22" t="s">
        <v>36</v>
      </c>
      <c r="J22" t="s">
        <v>44</v>
      </c>
      <c r="K22" t="s">
        <v>24</v>
      </c>
      <c r="L22">
        <v>4</v>
      </c>
    </row>
    <row r="23" spans="1:12">
      <c r="A23">
        <v>22</v>
      </c>
      <c r="B23">
        <v>2025</v>
      </c>
      <c r="C23" t="s">
        <v>69</v>
      </c>
      <c r="D23" t="s">
        <v>20</v>
      </c>
      <c r="E23" t="s">
        <v>21</v>
      </c>
      <c r="F23" t="s">
        <v>14</v>
      </c>
      <c r="G23" t="s">
        <v>21</v>
      </c>
      <c r="H23" t="s">
        <v>16</v>
      </c>
      <c r="I23" t="s">
        <v>21</v>
      </c>
      <c r="J23" t="s">
        <v>39</v>
      </c>
      <c r="K23" t="s">
        <v>24</v>
      </c>
      <c r="L23">
        <v>8</v>
      </c>
    </row>
    <row r="24" spans="1:12">
      <c r="A24">
        <v>23</v>
      </c>
      <c r="B24">
        <v>2024</v>
      </c>
      <c r="C24" t="s">
        <v>70</v>
      </c>
      <c r="D24" t="s">
        <v>13</v>
      </c>
      <c r="E24" t="s">
        <v>14</v>
      </c>
      <c r="F24" t="s">
        <v>27</v>
      </c>
      <c r="G24" t="s">
        <v>27</v>
      </c>
      <c r="H24" t="s">
        <v>16</v>
      </c>
      <c r="I24" t="s">
        <v>27</v>
      </c>
      <c r="J24" t="s">
        <v>44</v>
      </c>
      <c r="K24" t="s">
        <v>24</v>
      </c>
      <c r="L24">
        <v>5</v>
      </c>
    </row>
    <row r="25" spans="1:12">
      <c r="A25">
        <v>24</v>
      </c>
      <c r="B25">
        <v>2025</v>
      </c>
      <c r="C25" t="s">
        <v>71</v>
      </c>
      <c r="D25" t="s">
        <v>26</v>
      </c>
      <c r="E25" t="s">
        <v>47</v>
      </c>
      <c r="F25" t="s">
        <v>27</v>
      </c>
      <c r="G25" t="s">
        <v>47</v>
      </c>
      <c r="H25" t="s">
        <v>28</v>
      </c>
      <c r="I25" t="s">
        <v>47</v>
      </c>
      <c r="J25" t="s">
        <v>33</v>
      </c>
      <c r="K25" t="s">
        <v>18</v>
      </c>
      <c r="L25">
        <v>96</v>
      </c>
    </row>
    <row r="26" spans="1:12">
      <c r="A26">
        <v>25</v>
      </c>
      <c r="B26">
        <v>2021</v>
      </c>
      <c r="C26" t="s">
        <v>72</v>
      </c>
      <c r="D26" t="s">
        <v>31</v>
      </c>
      <c r="E26" t="s">
        <v>50</v>
      </c>
      <c r="F26" t="s">
        <v>47</v>
      </c>
      <c r="G26" t="s">
        <v>50</v>
      </c>
      <c r="H26" t="s">
        <v>16</v>
      </c>
      <c r="I26" t="s">
        <v>50</v>
      </c>
      <c r="J26" t="s">
        <v>39</v>
      </c>
      <c r="K26" t="s">
        <v>18</v>
      </c>
      <c r="L26">
        <v>77</v>
      </c>
    </row>
    <row r="27" spans="1:12">
      <c r="A27">
        <v>26</v>
      </c>
      <c r="B27">
        <v>2022</v>
      </c>
      <c r="C27" t="s">
        <v>73</v>
      </c>
      <c r="D27" t="s">
        <v>38</v>
      </c>
      <c r="E27" t="s">
        <v>32</v>
      </c>
      <c r="F27" t="s">
        <v>21</v>
      </c>
      <c r="G27" t="s">
        <v>32</v>
      </c>
      <c r="H27" t="s">
        <v>16</v>
      </c>
      <c r="I27" t="s">
        <v>32</v>
      </c>
      <c r="J27" t="s">
        <v>74</v>
      </c>
      <c r="K27" t="s">
        <v>24</v>
      </c>
      <c r="L27">
        <v>5</v>
      </c>
    </row>
    <row r="28" spans="1:12">
      <c r="A28">
        <v>27</v>
      </c>
      <c r="B28">
        <v>2023</v>
      </c>
      <c r="C28" t="s">
        <v>75</v>
      </c>
      <c r="D28" t="s">
        <v>49</v>
      </c>
      <c r="E28" t="s">
        <v>22</v>
      </c>
      <c r="F28" t="s">
        <v>15</v>
      </c>
      <c r="G28" t="s">
        <v>15</v>
      </c>
      <c r="H28" t="s">
        <v>16</v>
      </c>
      <c r="I28" t="s">
        <v>15</v>
      </c>
      <c r="J28" t="s">
        <v>76</v>
      </c>
      <c r="K28" t="s">
        <v>24</v>
      </c>
      <c r="L28">
        <v>2</v>
      </c>
    </row>
    <row r="29" spans="1:12">
      <c r="A29">
        <v>28</v>
      </c>
      <c r="B29">
        <v>2025</v>
      </c>
      <c r="C29" t="s">
        <v>77</v>
      </c>
      <c r="D29" t="s">
        <v>38</v>
      </c>
      <c r="E29" t="s">
        <v>50</v>
      </c>
      <c r="F29" t="s">
        <v>21</v>
      </c>
      <c r="G29" t="s">
        <v>50</v>
      </c>
      <c r="H29" t="s">
        <v>16</v>
      </c>
      <c r="I29" t="s">
        <v>21</v>
      </c>
      <c r="J29" t="s">
        <v>29</v>
      </c>
      <c r="K29" t="s">
        <v>24</v>
      </c>
      <c r="L29">
        <v>2</v>
      </c>
    </row>
    <row r="30" spans="1:12">
      <c r="A30">
        <v>29</v>
      </c>
      <c r="B30">
        <v>2023</v>
      </c>
      <c r="C30" t="s">
        <v>78</v>
      </c>
      <c r="D30" t="s">
        <v>31</v>
      </c>
      <c r="E30" t="s">
        <v>27</v>
      </c>
      <c r="F30" t="s">
        <v>47</v>
      </c>
      <c r="G30" t="s">
        <v>47</v>
      </c>
      <c r="H30" t="s">
        <v>16</v>
      </c>
      <c r="I30" t="s">
        <v>47</v>
      </c>
      <c r="J30" t="s">
        <v>17</v>
      </c>
      <c r="K30" t="s">
        <v>18</v>
      </c>
      <c r="L30">
        <v>34</v>
      </c>
    </row>
    <row r="31" spans="1:12">
      <c r="A31">
        <v>30</v>
      </c>
      <c r="B31">
        <v>2025</v>
      </c>
      <c r="C31" t="s">
        <v>79</v>
      </c>
      <c r="D31" t="s">
        <v>20</v>
      </c>
      <c r="E31" t="s">
        <v>27</v>
      </c>
      <c r="F31" t="s">
        <v>15</v>
      </c>
      <c r="G31" t="s">
        <v>15</v>
      </c>
      <c r="H31" t="s">
        <v>16</v>
      </c>
      <c r="I31" t="s">
        <v>15</v>
      </c>
      <c r="J31" t="s">
        <v>66</v>
      </c>
      <c r="K31" t="s">
        <v>24</v>
      </c>
      <c r="L31">
        <v>9</v>
      </c>
    </row>
    <row r="32" spans="1:12">
      <c r="A32">
        <v>31</v>
      </c>
      <c r="B32">
        <v>2021</v>
      </c>
      <c r="C32" t="s">
        <v>80</v>
      </c>
      <c r="D32" t="s">
        <v>35</v>
      </c>
      <c r="E32" t="s">
        <v>21</v>
      </c>
      <c r="F32" t="s">
        <v>32</v>
      </c>
      <c r="G32" t="s">
        <v>32</v>
      </c>
      <c r="H32" t="s">
        <v>16</v>
      </c>
      <c r="I32" t="s">
        <v>21</v>
      </c>
      <c r="J32" t="s">
        <v>81</v>
      </c>
      <c r="K32" t="s">
        <v>18</v>
      </c>
      <c r="L32">
        <v>82</v>
      </c>
    </row>
    <row r="33" spans="1:12">
      <c r="A33">
        <v>32</v>
      </c>
      <c r="B33">
        <v>2024</v>
      </c>
      <c r="C33" t="s">
        <v>82</v>
      </c>
      <c r="D33" t="s">
        <v>26</v>
      </c>
      <c r="E33" t="s">
        <v>36</v>
      </c>
      <c r="F33" t="s">
        <v>32</v>
      </c>
      <c r="G33" t="s">
        <v>36</v>
      </c>
      <c r="H33" t="s">
        <v>16</v>
      </c>
      <c r="I33" t="s">
        <v>36</v>
      </c>
      <c r="J33" t="s">
        <v>29</v>
      </c>
      <c r="K33" t="s">
        <v>18</v>
      </c>
      <c r="L33">
        <v>107</v>
      </c>
    </row>
    <row r="34" spans="1:12">
      <c r="A34">
        <v>33</v>
      </c>
      <c r="B34">
        <v>2025</v>
      </c>
      <c r="C34" t="s">
        <v>83</v>
      </c>
      <c r="D34" t="s">
        <v>26</v>
      </c>
      <c r="E34" t="s">
        <v>27</v>
      </c>
      <c r="F34" t="s">
        <v>32</v>
      </c>
      <c r="G34" t="s">
        <v>27</v>
      </c>
      <c r="H34" t="s">
        <v>16</v>
      </c>
      <c r="I34" t="s">
        <v>32</v>
      </c>
      <c r="J34" t="s">
        <v>57</v>
      </c>
      <c r="K34" t="s">
        <v>18</v>
      </c>
      <c r="L34">
        <v>116</v>
      </c>
    </row>
    <row r="35" spans="1:12">
      <c r="A35">
        <v>34</v>
      </c>
      <c r="B35">
        <v>2022</v>
      </c>
      <c r="C35" t="s">
        <v>84</v>
      </c>
      <c r="D35" t="s">
        <v>13</v>
      </c>
      <c r="E35" t="s">
        <v>21</v>
      </c>
      <c r="F35" t="s">
        <v>56</v>
      </c>
      <c r="G35" t="s">
        <v>56</v>
      </c>
      <c r="H35" t="s">
        <v>16</v>
      </c>
      <c r="I35" t="s">
        <v>21</v>
      </c>
      <c r="J35" t="s">
        <v>39</v>
      </c>
      <c r="K35" t="s">
        <v>18</v>
      </c>
      <c r="L35">
        <v>113</v>
      </c>
    </row>
    <row r="36" spans="1:12">
      <c r="A36">
        <v>35</v>
      </c>
      <c r="B36">
        <v>2022</v>
      </c>
      <c r="C36" t="s">
        <v>85</v>
      </c>
      <c r="D36" t="s">
        <v>20</v>
      </c>
      <c r="E36" t="s">
        <v>56</v>
      </c>
      <c r="F36" t="s">
        <v>32</v>
      </c>
      <c r="G36" t="s">
        <v>56</v>
      </c>
      <c r="H36" t="s">
        <v>28</v>
      </c>
      <c r="I36" t="s">
        <v>56</v>
      </c>
      <c r="J36" t="s">
        <v>17</v>
      </c>
      <c r="K36" t="s">
        <v>24</v>
      </c>
      <c r="L36">
        <v>1</v>
      </c>
    </row>
    <row r="37" spans="1:12">
      <c r="A37">
        <v>36</v>
      </c>
      <c r="B37">
        <v>2022</v>
      </c>
      <c r="C37" t="s">
        <v>86</v>
      </c>
      <c r="D37" t="s">
        <v>26</v>
      </c>
      <c r="E37" t="s">
        <v>47</v>
      </c>
      <c r="F37" t="s">
        <v>56</v>
      </c>
      <c r="G37" t="s">
        <v>56</v>
      </c>
      <c r="H37" t="s">
        <v>16</v>
      </c>
      <c r="I37" t="s">
        <v>47</v>
      </c>
      <c r="J37" t="s">
        <v>87</v>
      </c>
      <c r="K37" t="s">
        <v>18</v>
      </c>
      <c r="L37">
        <v>52</v>
      </c>
    </row>
    <row r="38" spans="1:12">
      <c r="A38">
        <v>37</v>
      </c>
      <c r="B38">
        <v>2021</v>
      </c>
      <c r="C38" t="s">
        <v>88</v>
      </c>
      <c r="D38" t="s">
        <v>43</v>
      </c>
      <c r="E38" t="s">
        <v>15</v>
      </c>
      <c r="F38" t="s">
        <v>56</v>
      </c>
      <c r="G38" t="s">
        <v>56</v>
      </c>
      <c r="H38" t="s">
        <v>28</v>
      </c>
      <c r="I38" t="s">
        <v>15</v>
      </c>
      <c r="J38" t="s">
        <v>17</v>
      </c>
      <c r="K38" t="s">
        <v>24</v>
      </c>
      <c r="L38">
        <v>3</v>
      </c>
    </row>
    <row r="39" spans="1:12">
      <c r="A39">
        <v>38</v>
      </c>
      <c r="B39">
        <v>2021</v>
      </c>
      <c r="C39" t="s">
        <v>89</v>
      </c>
      <c r="D39" t="s">
        <v>43</v>
      </c>
      <c r="E39" t="s">
        <v>21</v>
      </c>
      <c r="F39" t="s">
        <v>32</v>
      </c>
      <c r="G39" t="s">
        <v>32</v>
      </c>
      <c r="H39" t="s">
        <v>28</v>
      </c>
      <c r="I39" t="s">
        <v>32</v>
      </c>
      <c r="J39" t="s">
        <v>90</v>
      </c>
      <c r="K39" t="s">
        <v>18</v>
      </c>
      <c r="L39">
        <v>50</v>
      </c>
    </row>
    <row r="40" spans="1:12">
      <c r="A40">
        <v>39</v>
      </c>
      <c r="B40">
        <v>2023</v>
      </c>
      <c r="C40" t="s">
        <v>91</v>
      </c>
      <c r="D40" t="s">
        <v>26</v>
      </c>
      <c r="E40" t="s">
        <v>14</v>
      </c>
      <c r="F40" t="s">
        <v>32</v>
      </c>
      <c r="G40" t="s">
        <v>14</v>
      </c>
      <c r="H40" t="s">
        <v>16</v>
      </c>
      <c r="I40" t="s">
        <v>32</v>
      </c>
      <c r="J40" t="s">
        <v>74</v>
      </c>
      <c r="K40" t="s">
        <v>18</v>
      </c>
      <c r="L40">
        <v>86</v>
      </c>
    </row>
    <row r="41" spans="1:12">
      <c r="A41">
        <v>40</v>
      </c>
      <c r="B41">
        <v>2023</v>
      </c>
      <c r="C41" t="s">
        <v>67</v>
      </c>
      <c r="D41" t="s">
        <v>59</v>
      </c>
      <c r="E41" t="s">
        <v>21</v>
      </c>
      <c r="F41" t="s">
        <v>15</v>
      </c>
      <c r="G41" t="s">
        <v>15</v>
      </c>
      <c r="H41" t="s">
        <v>28</v>
      </c>
      <c r="I41" t="s">
        <v>15</v>
      </c>
      <c r="J41" t="s">
        <v>41</v>
      </c>
      <c r="K41" t="s">
        <v>24</v>
      </c>
      <c r="L41">
        <v>9</v>
      </c>
    </row>
    <row r="42" spans="1:12">
      <c r="A42">
        <v>41</v>
      </c>
      <c r="B42">
        <v>2024</v>
      </c>
      <c r="C42" t="s">
        <v>92</v>
      </c>
      <c r="D42" t="s">
        <v>13</v>
      </c>
      <c r="E42" t="s">
        <v>32</v>
      </c>
      <c r="F42" t="s">
        <v>27</v>
      </c>
      <c r="G42" t="s">
        <v>27</v>
      </c>
      <c r="H42" t="s">
        <v>28</v>
      </c>
      <c r="I42" t="s">
        <v>32</v>
      </c>
      <c r="J42" t="s">
        <v>53</v>
      </c>
      <c r="K42" t="s">
        <v>24</v>
      </c>
      <c r="L42">
        <v>4</v>
      </c>
    </row>
    <row r="43" spans="1:12">
      <c r="A43">
        <v>42</v>
      </c>
      <c r="B43">
        <v>2025</v>
      </c>
      <c r="C43" t="s">
        <v>93</v>
      </c>
      <c r="D43" t="s">
        <v>31</v>
      </c>
      <c r="E43" t="s">
        <v>50</v>
      </c>
      <c r="F43" t="s">
        <v>56</v>
      </c>
      <c r="G43" t="s">
        <v>56</v>
      </c>
      <c r="H43" t="s">
        <v>28</v>
      </c>
      <c r="I43" t="s">
        <v>56</v>
      </c>
      <c r="J43" t="s">
        <v>66</v>
      </c>
      <c r="K43" t="s">
        <v>24</v>
      </c>
      <c r="L43">
        <v>3</v>
      </c>
    </row>
    <row r="44" spans="1:12">
      <c r="A44">
        <v>43</v>
      </c>
      <c r="B44">
        <v>2025</v>
      </c>
      <c r="C44" t="s">
        <v>94</v>
      </c>
      <c r="D44" t="s">
        <v>49</v>
      </c>
      <c r="E44" t="s">
        <v>50</v>
      </c>
      <c r="F44" t="s">
        <v>56</v>
      </c>
      <c r="G44" t="s">
        <v>50</v>
      </c>
      <c r="H44" t="s">
        <v>16</v>
      </c>
      <c r="I44" t="s">
        <v>56</v>
      </c>
      <c r="J44" t="s">
        <v>95</v>
      </c>
      <c r="K44" t="s">
        <v>18</v>
      </c>
      <c r="L44">
        <v>19</v>
      </c>
    </row>
    <row r="45" spans="1:12">
      <c r="A45">
        <v>44</v>
      </c>
      <c r="B45">
        <v>2022</v>
      </c>
      <c r="C45" t="s">
        <v>96</v>
      </c>
      <c r="D45" t="s">
        <v>38</v>
      </c>
      <c r="E45" t="s">
        <v>47</v>
      </c>
      <c r="F45" t="s">
        <v>21</v>
      </c>
      <c r="G45" t="s">
        <v>21</v>
      </c>
      <c r="H45" t="s">
        <v>28</v>
      </c>
      <c r="I45" t="s">
        <v>47</v>
      </c>
      <c r="J45" t="s">
        <v>41</v>
      </c>
      <c r="K45" t="s">
        <v>24</v>
      </c>
      <c r="L45">
        <v>7</v>
      </c>
    </row>
    <row r="46" spans="1:12">
      <c r="A46">
        <v>45</v>
      </c>
      <c r="B46">
        <v>2021</v>
      </c>
      <c r="C46" t="s">
        <v>97</v>
      </c>
      <c r="D46" t="s">
        <v>31</v>
      </c>
      <c r="E46" t="s">
        <v>21</v>
      </c>
      <c r="F46" t="s">
        <v>32</v>
      </c>
      <c r="G46" t="s">
        <v>21</v>
      </c>
      <c r="H46" t="s">
        <v>16</v>
      </c>
      <c r="I46" t="s">
        <v>32</v>
      </c>
      <c r="J46" t="s">
        <v>33</v>
      </c>
      <c r="K46" t="s">
        <v>18</v>
      </c>
      <c r="L46">
        <v>118</v>
      </c>
    </row>
    <row r="47" spans="1:12">
      <c r="A47">
        <v>46</v>
      </c>
      <c r="B47">
        <v>2022</v>
      </c>
      <c r="C47" t="s">
        <v>98</v>
      </c>
      <c r="D47" t="s">
        <v>20</v>
      </c>
      <c r="E47" t="s">
        <v>47</v>
      </c>
      <c r="F47" t="s">
        <v>36</v>
      </c>
      <c r="G47" t="s">
        <v>36</v>
      </c>
      <c r="H47" t="s">
        <v>28</v>
      </c>
      <c r="I47" t="s">
        <v>36</v>
      </c>
      <c r="J47" t="s">
        <v>23</v>
      </c>
      <c r="K47" t="s">
        <v>24</v>
      </c>
      <c r="L47">
        <v>3</v>
      </c>
    </row>
    <row r="48" spans="1:12">
      <c r="A48">
        <v>47</v>
      </c>
      <c r="B48">
        <v>2023</v>
      </c>
      <c r="C48" t="s">
        <v>99</v>
      </c>
      <c r="D48" t="s">
        <v>35</v>
      </c>
      <c r="E48" t="s">
        <v>22</v>
      </c>
      <c r="F48" t="s">
        <v>15</v>
      </c>
      <c r="G48" t="s">
        <v>15</v>
      </c>
      <c r="H48" t="s">
        <v>16</v>
      </c>
      <c r="I48" t="s">
        <v>15</v>
      </c>
      <c r="J48" t="s">
        <v>76</v>
      </c>
      <c r="K48" t="s">
        <v>18</v>
      </c>
      <c r="L48">
        <v>92</v>
      </c>
    </row>
    <row r="49" spans="1:12">
      <c r="A49">
        <v>48</v>
      </c>
      <c r="B49">
        <v>2023</v>
      </c>
      <c r="C49" t="s">
        <v>100</v>
      </c>
      <c r="D49" t="s">
        <v>38</v>
      </c>
      <c r="E49" t="s">
        <v>56</v>
      </c>
      <c r="F49" t="s">
        <v>50</v>
      </c>
      <c r="G49" t="s">
        <v>56</v>
      </c>
      <c r="H49" t="s">
        <v>16</v>
      </c>
      <c r="I49" t="s">
        <v>56</v>
      </c>
      <c r="J49" t="s">
        <v>95</v>
      </c>
      <c r="K49" t="s">
        <v>24</v>
      </c>
      <c r="L49">
        <v>3</v>
      </c>
    </row>
    <row r="50" spans="1:12">
      <c r="A50">
        <v>49</v>
      </c>
      <c r="B50">
        <v>2024</v>
      </c>
      <c r="C50" t="s">
        <v>101</v>
      </c>
      <c r="D50" t="s">
        <v>43</v>
      </c>
      <c r="E50" t="s">
        <v>32</v>
      </c>
      <c r="F50" t="s">
        <v>56</v>
      </c>
      <c r="G50" t="s">
        <v>56</v>
      </c>
      <c r="H50" t="s">
        <v>28</v>
      </c>
      <c r="I50" t="s">
        <v>32</v>
      </c>
      <c r="J50" t="s">
        <v>66</v>
      </c>
      <c r="K50" t="s">
        <v>24</v>
      </c>
      <c r="L50">
        <v>7</v>
      </c>
    </row>
    <row r="51" spans="1:12">
      <c r="A51">
        <v>50</v>
      </c>
      <c r="B51">
        <v>2021</v>
      </c>
      <c r="C51" t="s">
        <v>102</v>
      </c>
      <c r="D51" t="s">
        <v>46</v>
      </c>
      <c r="E51" t="s">
        <v>50</v>
      </c>
      <c r="F51" t="s">
        <v>32</v>
      </c>
      <c r="G51" t="s">
        <v>32</v>
      </c>
      <c r="H51" t="s">
        <v>16</v>
      </c>
      <c r="I51" t="s">
        <v>32</v>
      </c>
      <c r="J51" t="s">
        <v>53</v>
      </c>
      <c r="K51" t="s">
        <v>24</v>
      </c>
      <c r="L51">
        <v>7</v>
      </c>
    </row>
    <row r="52" spans="1:12">
      <c r="A52">
        <v>51</v>
      </c>
      <c r="B52">
        <v>2025</v>
      </c>
      <c r="C52" t="s">
        <v>103</v>
      </c>
      <c r="D52" t="s">
        <v>13</v>
      </c>
      <c r="E52" t="s">
        <v>50</v>
      </c>
      <c r="F52" t="s">
        <v>22</v>
      </c>
      <c r="G52" t="s">
        <v>22</v>
      </c>
      <c r="H52" t="s">
        <v>16</v>
      </c>
      <c r="I52" t="s">
        <v>22</v>
      </c>
      <c r="J52" t="s">
        <v>74</v>
      </c>
      <c r="K52" t="s">
        <v>24</v>
      </c>
      <c r="L52">
        <v>1</v>
      </c>
    </row>
    <row r="53" spans="1:12">
      <c r="A53">
        <v>52</v>
      </c>
      <c r="B53">
        <v>2024</v>
      </c>
      <c r="C53" t="s">
        <v>104</v>
      </c>
      <c r="D53" t="s">
        <v>13</v>
      </c>
      <c r="E53" t="s">
        <v>27</v>
      </c>
      <c r="F53" t="s">
        <v>47</v>
      </c>
      <c r="G53" t="s">
        <v>27</v>
      </c>
      <c r="H53" t="s">
        <v>16</v>
      </c>
      <c r="I53" t="s">
        <v>47</v>
      </c>
      <c r="J53" t="s">
        <v>62</v>
      </c>
      <c r="K53" t="s">
        <v>18</v>
      </c>
      <c r="L53">
        <v>11</v>
      </c>
    </row>
    <row r="54" spans="1:12">
      <c r="A54">
        <v>53</v>
      </c>
      <c r="B54">
        <v>2024</v>
      </c>
      <c r="C54" t="s">
        <v>105</v>
      </c>
      <c r="D54" t="s">
        <v>26</v>
      </c>
      <c r="E54" t="s">
        <v>27</v>
      </c>
      <c r="F54" t="s">
        <v>14</v>
      </c>
      <c r="G54" t="s">
        <v>14</v>
      </c>
      <c r="H54" t="s">
        <v>28</v>
      </c>
      <c r="I54" t="s">
        <v>14</v>
      </c>
      <c r="J54" t="s">
        <v>66</v>
      </c>
      <c r="K54" t="s">
        <v>24</v>
      </c>
      <c r="L54">
        <v>6</v>
      </c>
    </row>
    <row r="55" spans="1:12">
      <c r="A55">
        <v>54</v>
      </c>
      <c r="B55">
        <v>2024</v>
      </c>
      <c r="C55" t="s">
        <v>106</v>
      </c>
      <c r="D55" t="s">
        <v>38</v>
      </c>
      <c r="E55" t="s">
        <v>15</v>
      </c>
      <c r="F55" t="s">
        <v>32</v>
      </c>
      <c r="G55" t="s">
        <v>32</v>
      </c>
      <c r="H55" t="s">
        <v>16</v>
      </c>
      <c r="I55" t="s">
        <v>32</v>
      </c>
      <c r="J55" t="s">
        <v>87</v>
      </c>
      <c r="K55" t="s">
        <v>18</v>
      </c>
      <c r="L55">
        <v>45</v>
      </c>
    </row>
    <row r="56" spans="1:12">
      <c r="A56">
        <v>55</v>
      </c>
      <c r="B56">
        <v>2021</v>
      </c>
      <c r="C56" t="s">
        <v>107</v>
      </c>
      <c r="D56" t="s">
        <v>59</v>
      </c>
      <c r="E56" t="s">
        <v>14</v>
      </c>
      <c r="F56" t="s">
        <v>50</v>
      </c>
      <c r="G56" t="s">
        <v>14</v>
      </c>
      <c r="H56" t="s">
        <v>16</v>
      </c>
      <c r="I56" t="s">
        <v>14</v>
      </c>
      <c r="J56" t="s">
        <v>90</v>
      </c>
      <c r="K56" t="s">
        <v>18</v>
      </c>
      <c r="L56">
        <v>31</v>
      </c>
    </row>
    <row r="57" spans="1:12">
      <c r="A57">
        <v>56</v>
      </c>
      <c r="B57">
        <v>2021</v>
      </c>
      <c r="C57" t="s">
        <v>108</v>
      </c>
      <c r="D57" t="s">
        <v>59</v>
      </c>
      <c r="E57" t="s">
        <v>50</v>
      </c>
      <c r="F57" t="s">
        <v>22</v>
      </c>
      <c r="G57" t="s">
        <v>22</v>
      </c>
      <c r="H57" t="s">
        <v>28</v>
      </c>
      <c r="I57" t="s">
        <v>22</v>
      </c>
      <c r="J57" t="s">
        <v>39</v>
      </c>
      <c r="K57" t="s">
        <v>18</v>
      </c>
      <c r="L57">
        <v>100</v>
      </c>
    </row>
    <row r="58" spans="1:12">
      <c r="A58">
        <v>57</v>
      </c>
      <c r="B58">
        <v>2021</v>
      </c>
      <c r="C58" t="s">
        <v>109</v>
      </c>
      <c r="D58" t="s">
        <v>38</v>
      </c>
      <c r="E58" t="s">
        <v>50</v>
      </c>
      <c r="F58" t="s">
        <v>14</v>
      </c>
      <c r="G58" t="s">
        <v>14</v>
      </c>
      <c r="H58" t="s">
        <v>28</v>
      </c>
      <c r="I58" t="s">
        <v>14</v>
      </c>
      <c r="J58" t="s">
        <v>66</v>
      </c>
      <c r="K58" t="s">
        <v>18</v>
      </c>
      <c r="L58">
        <v>76</v>
      </c>
    </row>
    <row r="59" spans="1:12">
      <c r="A59">
        <v>58</v>
      </c>
      <c r="B59">
        <v>2023</v>
      </c>
      <c r="C59" t="s">
        <v>110</v>
      </c>
      <c r="D59" t="s">
        <v>26</v>
      </c>
      <c r="E59" t="s">
        <v>50</v>
      </c>
      <c r="F59" t="s">
        <v>21</v>
      </c>
      <c r="G59" t="s">
        <v>50</v>
      </c>
      <c r="H59" t="s">
        <v>28</v>
      </c>
      <c r="I59" t="s">
        <v>21</v>
      </c>
      <c r="J59" t="s">
        <v>57</v>
      </c>
      <c r="K59" t="s">
        <v>18</v>
      </c>
      <c r="L59">
        <v>65</v>
      </c>
    </row>
    <row r="60" spans="1:12">
      <c r="A60">
        <v>59</v>
      </c>
      <c r="B60">
        <v>2024</v>
      </c>
      <c r="C60" t="s">
        <v>111</v>
      </c>
      <c r="D60" t="s">
        <v>46</v>
      </c>
      <c r="E60" t="s">
        <v>47</v>
      </c>
      <c r="F60" t="s">
        <v>21</v>
      </c>
      <c r="G60" t="s">
        <v>21</v>
      </c>
      <c r="H60" t="s">
        <v>28</v>
      </c>
      <c r="I60" t="s">
        <v>21</v>
      </c>
      <c r="J60" t="s">
        <v>29</v>
      </c>
      <c r="K60" t="s">
        <v>24</v>
      </c>
      <c r="L60">
        <v>3</v>
      </c>
    </row>
    <row r="61" spans="1:12">
      <c r="A61">
        <v>60</v>
      </c>
      <c r="B61">
        <v>2023</v>
      </c>
      <c r="C61" t="s">
        <v>112</v>
      </c>
      <c r="D61" t="s">
        <v>38</v>
      </c>
      <c r="E61" t="s">
        <v>50</v>
      </c>
      <c r="F61" t="s">
        <v>36</v>
      </c>
      <c r="G61" t="s">
        <v>36</v>
      </c>
      <c r="H61" t="s">
        <v>28</v>
      </c>
      <c r="I61" t="s">
        <v>36</v>
      </c>
      <c r="J61" t="s">
        <v>62</v>
      </c>
      <c r="K61" t="s">
        <v>24</v>
      </c>
      <c r="L61">
        <v>6</v>
      </c>
    </row>
    <row r="62" spans="1:12">
      <c r="A62">
        <v>61</v>
      </c>
      <c r="B62">
        <v>2021</v>
      </c>
      <c r="C62" t="s">
        <v>113</v>
      </c>
      <c r="D62" t="s">
        <v>26</v>
      </c>
      <c r="E62" t="s">
        <v>15</v>
      </c>
      <c r="F62" t="s">
        <v>47</v>
      </c>
      <c r="G62" t="s">
        <v>15</v>
      </c>
      <c r="H62" t="s">
        <v>28</v>
      </c>
      <c r="I62" t="s">
        <v>47</v>
      </c>
      <c r="J62" t="s">
        <v>81</v>
      </c>
      <c r="K62" t="s">
        <v>18</v>
      </c>
      <c r="L62">
        <v>64</v>
      </c>
    </row>
    <row r="63" spans="1:12">
      <c r="A63">
        <v>62</v>
      </c>
      <c r="B63">
        <v>2024</v>
      </c>
      <c r="C63" t="s">
        <v>114</v>
      </c>
      <c r="D63" t="s">
        <v>49</v>
      </c>
      <c r="E63" t="s">
        <v>22</v>
      </c>
      <c r="F63" t="s">
        <v>56</v>
      </c>
      <c r="G63" t="s">
        <v>56</v>
      </c>
      <c r="H63" t="s">
        <v>28</v>
      </c>
      <c r="I63" t="s">
        <v>56</v>
      </c>
      <c r="J63" t="s">
        <v>90</v>
      </c>
      <c r="K63" t="s">
        <v>24</v>
      </c>
      <c r="L63">
        <v>9</v>
      </c>
    </row>
    <row r="64" spans="1:12">
      <c r="A64">
        <v>63</v>
      </c>
      <c r="B64">
        <v>2022</v>
      </c>
      <c r="C64" t="s">
        <v>115</v>
      </c>
      <c r="D64" t="s">
        <v>49</v>
      </c>
      <c r="E64" t="s">
        <v>21</v>
      </c>
      <c r="F64" t="s">
        <v>22</v>
      </c>
      <c r="G64" t="s">
        <v>22</v>
      </c>
      <c r="H64" t="s">
        <v>28</v>
      </c>
      <c r="I64" t="s">
        <v>21</v>
      </c>
      <c r="J64" t="s">
        <v>116</v>
      </c>
      <c r="K64" t="s">
        <v>24</v>
      </c>
      <c r="L64">
        <v>8</v>
      </c>
    </row>
    <row r="65" spans="1:12">
      <c r="A65">
        <v>64</v>
      </c>
      <c r="B65">
        <v>2023</v>
      </c>
      <c r="C65" t="s">
        <v>117</v>
      </c>
      <c r="D65" t="s">
        <v>46</v>
      </c>
      <c r="E65" t="s">
        <v>22</v>
      </c>
      <c r="F65" t="s">
        <v>32</v>
      </c>
      <c r="G65" t="s">
        <v>22</v>
      </c>
      <c r="H65" t="s">
        <v>28</v>
      </c>
      <c r="I65" t="s">
        <v>32</v>
      </c>
      <c r="J65" t="s">
        <v>116</v>
      </c>
      <c r="K65" t="s">
        <v>24</v>
      </c>
      <c r="L65">
        <v>7</v>
      </c>
    </row>
    <row r="66" spans="1:12">
      <c r="A66">
        <v>65</v>
      </c>
      <c r="B66">
        <v>2023</v>
      </c>
      <c r="C66" t="s">
        <v>118</v>
      </c>
      <c r="D66" t="s">
        <v>31</v>
      </c>
      <c r="E66" t="s">
        <v>47</v>
      </c>
      <c r="F66" t="s">
        <v>15</v>
      </c>
      <c r="G66" t="s">
        <v>15</v>
      </c>
      <c r="H66" t="s">
        <v>28</v>
      </c>
      <c r="I66" t="s">
        <v>47</v>
      </c>
      <c r="J66" t="s">
        <v>17</v>
      </c>
      <c r="K66" t="s">
        <v>18</v>
      </c>
      <c r="L66">
        <v>41</v>
      </c>
    </row>
    <row r="67" spans="1:12">
      <c r="A67">
        <v>66</v>
      </c>
      <c r="B67">
        <v>2025</v>
      </c>
      <c r="C67" t="s">
        <v>119</v>
      </c>
      <c r="D67" t="s">
        <v>38</v>
      </c>
      <c r="E67" t="s">
        <v>27</v>
      </c>
      <c r="F67" t="s">
        <v>22</v>
      </c>
      <c r="G67" t="s">
        <v>27</v>
      </c>
      <c r="H67" t="s">
        <v>28</v>
      </c>
      <c r="I67" t="s">
        <v>22</v>
      </c>
      <c r="J67" t="s">
        <v>62</v>
      </c>
      <c r="K67" t="s">
        <v>24</v>
      </c>
      <c r="L67">
        <v>2</v>
      </c>
    </row>
    <row r="68" spans="1:12">
      <c r="A68">
        <v>67</v>
      </c>
      <c r="B68">
        <v>2022</v>
      </c>
      <c r="C68" t="s">
        <v>120</v>
      </c>
      <c r="D68" t="s">
        <v>46</v>
      </c>
      <c r="E68" t="s">
        <v>56</v>
      </c>
      <c r="F68" t="s">
        <v>27</v>
      </c>
      <c r="G68" t="s">
        <v>27</v>
      </c>
      <c r="H68" t="s">
        <v>16</v>
      </c>
      <c r="I68" t="s">
        <v>56</v>
      </c>
      <c r="J68" t="s">
        <v>44</v>
      </c>
      <c r="K68" t="s">
        <v>18</v>
      </c>
      <c r="L68">
        <v>7</v>
      </c>
    </row>
    <row r="69" spans="1:12">
      <c r="A69">
        <v>68</v>
      </c>
      <c r="B69">
        <v>2022</v>
      </c>
      <c r="C69" t="s">
        <v>121</v>
      </c>
      <c r="D69" t="s">
        <v>59</v>
      </c>
      <c r="E69" t="s">
        <v>47</v>
      </c>
      <c r="F69" t="s">
        <v>21</v>
      </c>
      <c r="G69" t="s">
        <v>47</v>
      </c>
      <c r="H69" t="s">
        <v>28</v>
      </c>
      <c r="I69" t="s">
        <v>21</v>
      </c>
      <c r="J69" t="s">
        <v>116</v>
      </c>
      <c r="K69" t="s">
        <v>24</v>
      </c>
      <c r="L69">
        <v>6</v>
      </c>
    </row>
    <row r="70" spans="1:12">
      <c r="A70">
        <v>69</v>
      </c>
      <c r="B70">
        <v>2023</v>
      </c>
      <c r="C70" t="s">
        <v>122</v>
      </c>
      <c r="D70" t="s">
        <v>59</v>
      </c>
      <c r="E70" t="s">
        <v>47</v>
      </c>
      <c r="F70" t="s">
        <v>21</v>
      </c>
      <c r="G70" t="s">
        <v>47</v>
      </c>
      <c r="H70" t="s">
        <v>28</v>
      </c>
      <c r="I70" t="s">
        <v>21</v>
      </c>
      <c r="J70" t="s">
        <v>64</v>
      </c>
      <c r="K70" t="s">
        <v>18</v>
      </c>
      <c r="L70">
        <v>20</v>
      </c>
    </row>
    <row r="71" spans="1:12">
      <c r="A71">
        <v>70</v>
      </c>
      <c r="B71">
        <v>2025</v>
      </c>
      <c r="C71" t="s">
        <v>123</v>
      </c>
      <c r="D71" t="s">
        <v>46</v>
      </c>
      <c r="E71" t="s">
        <v>15</v>
      </c>
      <c r="F71" t="s">
        <v>21</v>
      </c>
      <c r="G71" t="s">
        <v>15</v>
      </c>
      <c r="H71" t="s">
        <v>16</v>
      </c>
      <c r="I71" t="s">
        <v>21</v>
      </c>
      <c r="J71" t="s">
        <v>90</v>
      </c>
      <c r="K71" t="s">
        <v>18</v>
      </c>
      <c r="L71">
        <v>100</v>
      </c>
    </row>
    <row r="72" spans="1:12">
      <c r="A72">
        <v>71</v>
      </c>
      <c r="B72">
        <v>2024</v>
      </c>
      <c r="C72" t="s">
        <v>124</v>
      </c>
      <c r="D72" t="s">
        <v>38</v>
      </c>
      <c r="E72" t="s">
        <v>47</v>
      </c>
      <c r="F72" t="s">
        <v>15</v>
      </c>
      <c r="G72" t="s">
        <v>15</v>
      </c>
      <c r="H72" t="s">
        <v>28</v>
      </c>
      <c r="I72" t="s">
        <v>47</v>
      </c>
      <c r="J72" t="s">
        <v>90</v>
      </c>
      <c r="K72" t="s">
        <v>18</v>
      </c>
      <c r="L72">
        <v>98</v>
      </c>
    </row>
    <row r="73" spans="1:12">
      <c r="A73">
        <v>72</v>
      </c>
      <c r="B73">
        <v>2022</v>
      </c>
      <c r="C73" t="s">
        <v>125</v>
      </c>
      <c r="D73" t="s">
        <v>49</v>
      </c>
      <c r="E73" t="s">
        <v>15</v>
      </c>
      <c r="F73" t="s">
        <v>21</v>
      </c>
      <c r="G73" t="s">
        <v>15</v>
      </c>
      <c r="H73" t="s">
        <v>16</v>
      </c>
      <c r="I73" t="s">
        <v>15</v>
      </c>
      <c r="J73" t="s">
        <v>23</v>
      </c>
      <c r="K73" t="s">
        <v>18</v>
      </c>
      <c r="L73">
        <v>21</v>
      </c>
    </row>
    <row r="74" spans="1:12">
      <c r="A74">
        <v>73</v>
      </c>
      <c r="B74">
        <v>2024</v>
      </c>
      <c r="C74" t="s">
        <v>126</v>
      </c>
      <c r="D74" t="s">
        <v>31</v>
      </c>
      <c r="E74" t="s">
        <v>50</v>
      </c>
      <c r="F74" t="s">
        <v>47</v>
      </c>
      <c r="G74" t="s">
        <v>47</v>
      </c>
      <c r="H74" t="s">
        <v>16</v>
      </c>
      <c r="I74" t="s">
        <v>50</v>
      </c>
      <c r="J74" t="s">
        <v>53</v>
      </c>
      <c r="K74" t="s">
        <v>24</v>
      </c>
      <c r="L74">
        <v>8</v>
      </c>
    </row>
    <row r="75" spans="1:12">
      <c r="A75">
        <v>74</v>
      </c>
      <c r="B75">
        <v>2022</v>
      </c>
      <c r="C75" t="s">
        <v>127</v>
      </c>
      <c r="D75" t="s">
        <v>31</v>
      </c>
      <c r="E75" t="s">
        <v>15</v>
      </c>
      <c r="F75" t="s">
        <v>22</v>
      </c>
      <c r="G75" t="s">
        <v>22</v>
      </c>
      <c r="H75" t="s">
        <v>16</v>
      </c>
      <c r="I75" t="s">
        <v>15</v>
      </c>
      <c r="J75" t="s">
        <v>29</v>
      </c>
      <c r="K75" t="s">
        <v>24</v>
      </c>
      <c r="L75">
        <v>3</v>
      </c>
    </row>
    <row r="76" spans="1:12">
      <c r="A76">
        <v>75</v>
      </c>
      <c r="B76">
        <v>2022</v>
      </c>
      <c r="C76" t="s">
        <v>128</v>
      </c>
      <c r="D76" t="s">
        <v>46</v>
      </c>
      <c r="E76" t="s">
        <v>15</v>
      </c>
      <c r="F76" t="s">
        <v>50</v>
      </c>
      <c r="G76" t="s">
        <v>50</v>
      </c>
      <c r="H76" t="s">
        <v>16</v>
      </c>
      <c r="I76" t="s">
        <v>50</v>
      </c>
      <c r="J76" t="s">
        <v>53</v>
      </c>
      <c r="K76" t="s">
        <v>24</v>
      </c>
      <c r="L76">
        <v>5</v>
      </c>
    </row>
    <row r="77" spans="1:12">
      <c r="A77">
        <v>76</v>
      </c>
      <c r="B77">
        <v>2024</v>
      </c>
      <c r="C77" t="s">
        <v>129</v>
      </c>
      <c r="D77" t="s">
        <v>31</v>
      </c>
      <c r="E77" t="s">
        <v>47</v>
      </c>
      <c r="F77" t="s">
        <v>21</v>
      </c>
      <c r="G77" t="s">
        <v>47</v>
      </c>
      <c r="H77" t="s">
        <v>28</v>
      </c>
      <c r="I77" t="s">
        <v>21</v>
      </c>
      <c r="J77" t="s">
        <v>90</v>
      </c>
      <c r="K77" t="s">
        <v>24</v>
      </c>
      <c r="L77">
        <v>1</v>
      </c>
    </row>
    <row r="78" spans="1:12">
      <c r="A78">
        <v>77</v>
      </c>
      <c r="B78">
        <v>2025</v>
      </c>
      <c r="C78" t="s">
        <v>130</v>
      </c>
      <c r="D78" t="s">
        <v>59</v>
      </c>
      <c r="E78" t="s">
        <v>50</v>
      </c>
      <c r="F78" t="s">
        <v>14</v>
      </c>
      <c r="G78" t="s">
        <v>14</v>
      </c>
      <c r="H78" t="s">
        <v>16</v>
      </c>
      <c r="I78" t="s">
        <v>50</v>
      </c>
      <c r="J78" t="s">
        <v>116</v>
      </c>
      <c r="K78" t="s">
        <v>24</v>
      </c>
      <c r="L78">
        <v>5</v>
      </c>
    </row>
    <row r="79" spans="1:12">
      <c r="A79">
        <v>78</v>
      </c>
      <c r="B79">
        <v>2024</v>
      </c>
      <c r="C79" t="s">
        <v>131</v>
      </c>
      <c r="D79" t="s">
        <v>59</v>
      </c>
      <c r="E79" t="s">
        <v>47</v>
      </c>
      <c r="F79" t="s">
        <v>21</v>
      </c>
      <c r="G79" t="s">
        <v>21</v>
      </c>
      <c r="H79" t="s">
        <v>28</v>
      </c>
      <c r="I79" t="s">
        <v>21</v>
      </c>
      <c r="J79" t="s">
        <v>81</v>
      </c>
      <c r="K79" t="s">
        <v>24</v>
      </c>
      <c r="L79">
        <v>2</v>
      </c>
    </row>
    <row r="80" spans="1:12">
      <c r="A80">
        <v>79</v>
      </c>
      <c r="B80">
        <v>2024</v>
      </c>
      <c r="C80" t="s">
        <v>132</v>
      </c>
      <c r="D80" t="s">
        <v>26</v>
      </c>
      <c r="E80" t="s">
        <v>47</v>
      </c>
      <c r="F80" t="s">
        <v>15</v>
      </c>
      <c r="G80" t="s">
        <v>15</v>
      </c>
      <c r="H80" t="s">
        <v>16</v>
      </c>
      <c r="I80" t="s">
        <v>15</v>
      </c>
      <c r="J80" t="s">
        <v>64</v>
      </c>
      <c r="K80" t="s">
        <v>24</v>
      </c>
      <c r="L80">
        <v>5</v>
      </c>
    </row>
    <row r="81" spans="1:12">
      <c r="A81">
        <v>80</v>
      </c>
      <c r="B81">
        <v>2024</v>
      </c>
      <c r="C81" t="s">
        <v>133</v>
      </c>
      <c r="D81" t="s">
        <v>20</v>
      </c>
      <c r="E81" t="s">
        <v>36</v>
      </c>
      <c r="F81" t="s">
        <v>14</v>
      </c>
      <c r="G81" t="s">
        <v>14</v>
      </c>
      <c r="H81" t="s">
        <v>28</v>
      </c>
      <c r="I81" t="s">
        <v>36</v>
      </c>
      <c r="J81" t="s">
        <v>66</v>
      </c>
      <c r="K81" t="s">
        <v>24</v>
      </c>
      <c r="L81">
        <v>10</v>
      </c>
    </row>
    <row r="82" spans="1:12">
      <c r="A82">
        <v>81</v>
      </c>
      <c r="B82">
        <v>2024</v>
      </c>
      <c r="C82" t="s">
        <v>134</v>
      </c>
      <c r="D82" t="s">
        <v>49</v>
      </c>
      <c r="E82" t="s">
        <v>14</v>
      </c>
      <c r="F82" t="s">
        <v>22</v>
      </c>
      <c r="G82" t="s">
        <v>22</v>
      </c>
      <c r="H82" t="s">
        <v>16</v>
      </c>
      <c r="I82" t="s">
        <v>22</v>
      </c>
      <c r="J82" t="s">
        <v>76</v>
      </c>
      <c r="K82" t="s">
        <v>24</v>
      </c>
      <c r="L82">
        <v>2</v>
      </c>
    </row>
    <row r="83" spans="1:12">
      <c r="A83">
        <v>82</v>
      </c>
      <c r="B83">
        <v>2025</v>
      </c>
      <c r="C83" t="s">
        <v>135</v>
      </c>
      <c r="D83" t="s">
        <v>31</v>
      </c>
      <c r="E83" t="s">
        <v>22</v>
      </c>
      <c r="F83" t="s">
        <v>27</v>
      </c>
      <c r="G83" t="s">
        <v>27</v>
      </c>
      <c r="H83" t="s">
        <v>16</v>
      </c>
      <c r="I83" t="s">
        <v>27</v>
      </c>
      <c r="J83" t="s">
        <v>64</v>
      </c>
      <c r="K83" t="s">
        <v>18</v>
      </c>
      <c r="L83">
        <v>108</v>
      </c>
    </row>
    <row r="84" spans="1:12">
      <c r="A84">
        <v>83</v>
      </c>
      <c r="B84">
        <v>2021</v>
      </c>
      <c r="C84" t="s">
        <v>136</v>
      </c>
      <c r="D84" t="s">
        <v>20</v>
      </c>
      <c r="E84" t="s">
        <v>27</v>
      </c>
      <c r="F84" t="s">
        <v>47</v>
      </c>
      <c r="G84" t="s">
        <v>47</v>
      </c>
      <c r="H84" t="s">
        <v>28</v>
      </c>
      <c r="I84" t="s">
        <v>47</v>
      </c>
      <c r="J84" t="s">
        <v>116</v>
      </c>
      <c r="K84" t="s">
        <v>24</v>
      </c>
      <c r="L84">
        <v>4</v>
      </c>
    </row>
    <row r="85" spans="1:12">
      <c r="A85">
        <v>84</v>
      </c>
      <c r="B85">
        <v>2022</v>
      </c>
      <c r="C85" t="s">
        <v>137</v>
      </c>
      <c r="D85" t="s">
        <v>35</v>
      </c>
      <c r="E85" t="s">
        <v>32</v>
      </c>
      <c r="F85" t="s">
        <v>22</v>
      </c>
      <c r="G85" t="s">
        <v>32</v>
      </c>
      <c r="H85" t="s">
        <v>16</v>
      </c>
      <c r="I85" t="s">
        <v>22</v>
      </c>
      <c r="J85" t="s">
        <v>74</v>
      </c>
      <c r="K85" t="s">
        <v>24</v>
      </c>
      <c r="L85">
        <v>9</v>
      </c>
    </row>
    <row r="86" spans="1:12">
      <c r="A86">
        <v>85</v>
      </c>
      <c r="B86">
        <v>2021</v>
      </c>
      <c r="C86" t="s">
        <v>138</v>
      </c>
      <c r="D86" t="s">
        <v>26</v>
      </c>
      <c r="E86" t="s">
        <v>15</v>
      </c>
      <c r="F86" t="s">
        <v>50</v>
      </c>
      <c r="G86" t="s">
        <v>50</v>
      </c>
      <c r="H86" t="s">
        <v>16</v>
      </c>
      <c r="I86" t="s">
        <v>50</v>
      </c>
      <c r="J86" t="s">
        <v>23</v>
      </c>
      <c r="K86" t="s">
        <v>24</v>
      </c>
      <c r="L86">
        <v>6</v>
      </c>
    </row>
    <row r="87" spans="1:12">
      <c r="A87">
        <v>86</v>
      </c>
      <c r="B87">
        <v>2025</v>
      </c>
      <c r="C87" t="s">
        <v>139</v>
      </c>
      <c r="D87" t="s">
        <v>13</v>
      </c>
      <c r="E87" t="s">
        <v>32</v>
      </c>
      <c r="F87" t="s">
        <v>47</v>
      </c>
      <c r="G87" t="s">
        <v>47</v>
      </c>
      <c r="H87" t="s">
        <v>16</v>
      </c>
      <c r="I87" t="s">
        <v>32</v>
      </c>
      <c r="J87" t="s">
        <v>62</v>
      </c>
      <c r="K87" t="s">
        <v>24</v>
      </c>
      <c r="L87">
        <v>4</v>
      </c>
    </row>
    <row r="88" spans="1:12">
      <c r="A88">
        <v>87</v>
      </c>
      <c r="B88">
        <v>2023</v>
      </c>
      <c r="C88" t="s">
        <v>140</v>
      </c>
      <c r="D88" t="s">
        <v>43</v>
      </c>
      <c r="E88" t="s">
        <v>47</v>
      </c>
      <c r="F88" t="s">
        <v>32</v>
      </c>
      <c r="G88" t="s">
        <v>32</v>
      </c>
      <c r="H88" t="s">
        <v>16</v>
      </c>
      <c r="I88" t="s">
        <v>32</v>
      </c>
      <c r="J88" t="s">
        <v>33</v>
      </c>
      <c r="K88" t="s">
        <v>18</v>
      </c>
      <c r="L88">
        <v>65</v>
      </c>
    </row>
    <row r="89" spans="1:12">
      <c r="A89">
        <v>88</v>
      </c>
      <c r="B89">
        <v>2021</v>
      </c>
      <c r="C89" t="s">
        <v>141</v>
      </c>
      <c r="D89" t="s">
        <v>20</v>
      </c>
      <c r="E89" t="s">
        <v>47</v>
      </c>
      <c r="F89" t="s">
        <v>21</v>
      </c>
      <c r="G89" t="s">
        <v>21</v>
      </c>
      <c r="H89" t="s">
        <v>16</v>
      </c>
      <c r="I89" t="s">
        <v>47</v>
      </c>
      <c r="J89" t="s">
        <v>74</v>
      </c>
      <c r="K89" t="s">
        <v>18</v>
      </c>
      <c r="L89">
        <v>10</v>
      </c>
    </row>
    <row r="90" spans="1:12">
      <c r="A90">
        <v>89</v>
      </c>
      <c r="B90">
        <v>2023</v>
      </c>
      <c r="C90" t="s">
        <v>142</v>
      </c>
      <c r="D90" t="s">
        <v>49</v>
      </c>
      <c r="E90" t="s">
        <v>56</v>
      </c>
      <c r="F90" t="s">
        <v>32</v>
      </c>
      <c r="G90" t="s">
        <v>56</v>
      </c>
      <c r="H90" t="s">
        <v>28</v>
      </c>
      <c r="I90" t="s">
        <v>32</v>
      </c>
      <c r="J90" t="s">
        <v>81</v>
      </c>
      <c r="K90" t="s">
        <v>24</v>
      </c>
      <c r="L90">
        <v>9</v>
      </c>
    </row>
    <row r="91" spans="1:12">
      <c r="A91">
        <v>90</v>
      </c>
      <c r="B91">
        <v>2021</v>
      </c>
      <c r="C91" t="s">
        <v>143</v>
      </c>
      <c r="D91" t="s">
        <v>59</v>
      </c>
      <c r="E91" t="s">
        <v>22</v>
      </c>
      <c r="F91" t="s">
        <v>15</v>
      </c>
      <c r="G91" t="s">
        <v>22</v>
      </c>
      <c r="H91" t="s">
        <v>16</v>
      </c>
      <c r="I91" t="s">
        <v>15</v>
      </c>
      <c r="J91" t="s">
        <v>17</v>
      </c>
      <c r="K91" t="s">
        <v>18</v>
      </c>
      <c r="L91">
        <v>57</v>
      </c>
    </row>
    <row r="92" spans="1:12">
      <c r="A92">
        <v>91</v>
      </c>
      <c r="B92">
        <v>2023</v>
      </c>
      <c r="C92" t="s">
        <v>144</v>
      </c>
      <c r="D92" t="s">
        <v>59</v>
      </c>
      <c r="E92" t="s">
        <v>14</v>
      </c>
      <c r="F92" t="s">
        <v>50</v>
      </c>
      <c r="G92" t="s">
        <v>50</v>
      </c>
      <c r="H92" t="s">
        <v>16</v>
      </c>
      <c r="I92" t="s">
        <v>50</v>
      </c>
      <c r="J92" t="s">
        <v>57</v>
      </c>
      <c r="K92" t="s">
        <v>24</v>
      </c>
      <c r="L92">
        <v>7</v>
      </c>
    </row>
    <row r="93" spans="1:12">
      <c r="A93">
        <v>92</v>
      </c>
      <c r="B93">
        <v>2025</v>
      </c>
      <c r="C93" t="s">
        <v>145</v>
      </c>
      <c r="D93" t="s">
        <v>38</v>
      </c>
      <c r="E93" t="s">
        <v>32</v>
      </c>
      <c r="F93" t="s">
        <v>27</v>
      </c>
      <c r="G93" t="s">
        <v>32</v>
      </c>
      <c r="H93" t="s">
        <v>16</v>
      </c>
      <c r="I93" t="s">
        <v>32</v>
      </c>
      <c r="J93" t="s">
        <v>90</v>
      </c>
      <c r="K93" t="s">
        <v>24</v>
      </c>
      <c r="L93">
        <v>10</v>
      </c>
    </row>
    <row r="94" spans="1:12">
      <c r="A94">
        <v>93</v>
      </c>
      <c r="B94">
        <v>2025</v>
      </c>
      <c r="C94" t="s">
        <v>146</v>
      </c>
      <c r="D94" t="s">
        <v>20</v>
      </c>
      <c r="E94" t="s">
        <v>27</v>
      </c>
      <c r="F94" t="s">
        <v>22</v>
      </c>
      <c r="G94" t="s">
        <v>22</v>
      </c>
      <c r="H94" t="s">
        <v>28</v>
      </c>
      <c r="I94" t="s">
        <v>22</v>
      </c>
      <c r="J94" t="s">
        <v>44</v>
      </c>
      <c r="K94" t="s">
        <v>18</v>
      </c>
      <c r="L94">
        <v>116</v>
      </c>
    </row>
    <row r="95" spans="1:12">
      <c r="A95">
        <v>94</v>
      </c>
      <c r="B95">
        <v>2025</v>
      </c>
      <c r="C95" t="s">
        <v>147</v>
      </c>
      <c r="D95" t="s">
        <v>35</v>
      </c>
      <c r="E95" t="s">
        <v>27</v>
      </c>
      <c r="F95" t="s">
        <v>21</v>
      </c>
      <c r="G95" t="s">
        <v>21</v>
      </c>
      <c r="H95" t="s">
        <v>28</v>
      </c>
      <c r="I95" t="s">
        <v>21</v>
      </c>
      <c r="J95" t="s">
        <v>74</v>
      </c>
      <c r="K95" t="s">
        <v>24</v>
      </c>
      <c r="L95">
        <v>8</v>
      </c>
    </row>
    <row r="96" spans="1:12">
      <c r="A96">
        <v>95</v>
      </c>
      <c r="B96">
        <v>2024</v>
      </c>
      <c r="C96" t="s">
        <v>148</v>
      </c>
      <c r="D96" t="s">
        <v>49</v>
      </c>
      <c r="E96" t="s">
        <v>47</v>
      </c>
      <c r="F96" t="s">
        <v>21</v>
      </c>
      <c r="G96" t="s">
        <v>47</v>
      </c>
      <c r="H96" t="s">
        <v>28</v>
      </c>
      <c r="I96" t="s">
        <v>21</v>
      </c>
      <c r="J96" t="s">
        <v>62</v>
      </c>
      <c r="K96" t="s">
        <v>24</v>
      </c>
      <c r="L96">
        <v>5</v>
      </c>
    </row>
    <row r="97" spans="1:12">
      <c r="A97">
        <v>96</v>
      </c>
      <c r="B97">
        <v>2024</v>
      </c>
      <c r="C97" t="s">
        <v>149</v>
      </c>
      <c r="D97" t="s">
        <v>38</v>
      </c>
      <c r="E97" t="s">
        <v>15</v>
      </c>
      <c r="F97" t="s">
        <v>14</v>
      </c>
      <c r="G97" t="s">
        <v>15</v>
      </c>
      <c r="H97" t="s">
        <v>28</v>
      </c>
      <c r="I97" t="s">
        <v>14</v>
      </c>
      <c r="J97" t="s">
        <v>95</v>
      </c>
      <c r="K97" t="s">
        <v>24</v>
      </c>
      <c r="L97">
        <v>4</v>
      </c>
    </row>
    <row r="98" spans="1:12">
      <c r="A98">
        <v>97</v>
      </c>
      <c r="B98">
        <v>2023</v>
      </c>
      <c r="C98" t="s">
        <v>150</v>
      </c>
      <c r="D98" t="s">
        <v>31</v>
      </c>
      <c r="E98" t="s">
        <v>27</v>
      </c>
      <c r="F98" t="s">
        <v>21</v>
      </c>
      <c r="G98" t="s">
        <v>27</v>
      </c>
      <c r="H98" t="s">
        <v>28</v>
      </c>
      <c r="I98" t="s">
        <v>21</v>
      </c>
      <c r="J98" t="s">
        <v>33</v>
      </c>
      <c r="K98" t="s">
        <v>24</v>
      </c>
      <c r="L98">
        <v>3</v>
      </c>
    </row>
    <row r="99" spans="1:12">
      <c r="A99">
        <v>98</v>
      </c>
      <c r="B99">
        <v>2023</v>
      </c>
      <c r="C99" t="s">
        <v>151</v>
      </c>
      <c r="D99" t="s">
        <v>35</v>
      </c>
      <c r="E99" t="s">
        <v>32</v>
      </c>
      <c r="F99" t="s">
        <v>27</v>
      </c>
      <c r="G99" t="s">
        <v>32</v>
      </c>
      <c r="H99" t="s">
        <v>16</v>
      </c>
      <c r="I99" t="s">
        <v>27</v>
      </c>
      <c r="J99" t="s">
        <v>152</v>
      </c>
      <c r="K99" t="s">
        <v>24</v>
      </c>
      <c r="L99">
        <v>3</v>
      </c>
    </row>
    <row r="100" spans="1:12">
      <c r="A100">
        <v>99</v>
      </c>
      <c r="B100">
        <v>2024</v>
      </c>
      <c r="C100" t="s">
        <v>153</v>
      </c>
      <c r="D100" t="s">
        <v>13</v>
      </c>
      <c r="E100" t="s">
        <v>15</v>
      </c>
      <c r="F100" t="s">
        <v>56</v>
      </c>
      <c r="G100" t="s">
        <v>15</v>
      </c>
      <c r="H100" t="s">
        <v>28</v>
      </c>
      <c r="I100" t="s">
        <v>15</v>
      </c>
      <c r="J100" t="s">
        <v>29</v>
      </c>
      <c r="K100" t="s">
        <v>18</v>
      </c>
      <c r="L100">
        <v>111</v>
      </c>
    </row>
    <row r="101" spans="1:12">
      <c r="A101">
        <v>100</v>
      </c>
      <c r="B101">
        <v>2025</v>
      </c>
      <c r="C101" t="s">
        <v>154</v>
      </c>
      <c r="D101" t="s">
        <v>26</v>
      </c>
      <c r="E101" t="s">
        <v>56</v>
      </c>
      <c r="F101" t="s">
        <v>21</v>
      </c>
      <c r="G101" t="s">
        <v>21</v>
      </c>
      <c r="H101" t="s">
        <v>16</v>
      </c>
      <c r="I101" t="s">
        <v>21</v>
      </c>
      <c r="J101" t="s">
        <v>23</v>
      </c>
      <c r="K101" t="s">
        <v>18</v>
      </c>
      <c r="L101">
        <v>59</v>
      </c>
    </row>
    <row r="102" spans="1:12">
      <c r="A102">
        <v>101</v>
      </c>
      <c r="B102">
        <v>2023</v>
      </c>
      <c r="C102" t="s">
        <v>155</v>
      </c>
      <c r="D102" t="s">
        <v>46</v>
      </c>
      <c r="E102" t="s">
        <v>50</v>
      </c>
      <c r="F102" t="s">
        <v>32</v>
      </c>
      <c r="G102" t="s">
        <v>32</v>
      </c>
      <c r="H102" t="s">
        <v>16</v>
      </c>
      <c r="I102" t="s">
        <v>50</v>
      </c>
      <c r="J102" t="s">
        <v>116</v>
      </c>
      <c r="K102" t="s">
        <v>18</v>
      </c>
      <c r="L102">
        <v>80</v>
      </c>
    </row>
    <row r="103" spans="1:12">
      <c r="A103">
        <v>102</v>
      </c>
      <c r="B103">
        <v>2025</v>
      </c>
      <c r="C103" t="s">
        <v>156</v>
      </c>
      <c r="D103" t="s">
        <v>49</v>
      </c>
      <c r="E103" t="s">
        <v>22</v>
      </c>
      <c r="F103" t="s">
        <v>21</v>
      </c>
      <c r="G103" t="s">
        <v>21</v>
      </c>
      <c r="H103" t="s">
        <v>28</v>
      </c>
      <c r="I103" t="s">
        <v>21</v>
      </c>
      <c r="J103" t="s">
        <v>17</v>
      </c>
      <c r="K103" t="s">
        <v>18</v>
      </c>
      <c r="L103">
        <v>6</v>
      </c>
    </row>
    <row r="104" spans="1:12">
      <c r="A104">
        <v>103</v>
      </c>
      <c r="B104">
        <v>2024</v>
      </c>
      <c r="C104" t="s">
        <v>157</v>
      </c>
      <c r="D104" t="s">
        <v>13</v>
      </c>
      <c r="E104" t="s">
        <v>21</v>
      </c>
      <c r="F104" t="s">
        <v>50</v>
      </c>
      <c r="G104" t="s">
        <v>21</v>
      </c>
      <c r="H104" t="s">
        <v>16</v>
      </c>
      <c r="I104" t="s">
        <v>50</v>
      </c>
      <c r="J104" t="s">
        <v>76</v>
      </c>
      <c r="K104" t="s">
        <v>24</v>
      </c>
      <c r="L104">
        <v>9</v>
      </c>
    </row>
    <row r="105" spans="1:12">
      <c r="A105">
        <v>104</v>
      </c>
      <c r="B105">
        <v>2022</v>
      </c>
      <c r="C105" t="s">
        <v>158</v>
      </c>
      <c r="D105" t="s">
        <v>20</v>
      </c>
      <c r="E105" t="s">
        <v>32</v>
      </c>
      <c r="F105" t="s">
        <v>21</v>
      </c>
      <c r="G105" t="s">
        <v>21</v>
      </c>
      <c r="H105" t="s">
        <v>28</v>
      </c>
      <c r="I105" t="s">
        <v>21</v>
      </c>
      <c r="J105" t="s">
        <v>33</v>
      </c>
      <c r="K105" t="s">
        <v>24</v>
      </c>
      <c r="L105">
        <v>4</v>
      </c>
    </row>
    <row r="106" spans="1:12">
      <c r="A106">
        <v>105</v>
      </c>
      <c r="B106">
        <v>2022</v>
      </c>
      <c r="C106" t="s">
        <v>159</v>
      </c>
      <c r="D106" t="s">
        <v>31</v>
      </c>
      <c r="E106" t="s">
        <v>56</v>
      </c>
      <c r="F106" t="s">
        <v>21</v>
      </c>
      <c r="G106" t="s">
        <v>21</v>
      </c>
      <c r="H106" t="s">
        <v>28</v>
      </c>
      <c r="I106" t="s">
        <v>56</v>
      </c>
      <c r="J106" t="s">
        <v>41</v>
      </c>
      <c r="K106" t="s">
        <v>24</v>
      </c>
      <c r="L106">
        <v>4</v>
      </c>
    </row>
    <row r="107" spans="1:12">
      <c r="A107">
        <v>106</v>
      </c>
      <c r="B107">
        <v>2024</v>
      </c>
      <c r="C107" t="s">
        <v>160</v>
      </c>
      <c r="D107" t="s">
        <v>43</v>
      </c>
      <c r="E107" t="s">
        <v>21</v>
      </c>
      <c r="F107" t="s">
        <v>22</v>
      </c>
      <c r="G107" t="s">
        <v>21</v>
      </c>
      <c r="H107" t="s">
        <v>16</v>
      </c>
      <c r="I107" t="s">
        <v>22</v>
      </c>
      <c r="J107" t="s">
        <v>95</v>
      </c>
      <c r="K107" t="s">
        <v>18</v>
      </c>
      <c r="L107">
        <v>101</v>
      </c>
    </row>
    <row r="108" spans="1:12">
      <c r="A108">
        <v>107</v>
      </c>
      <c r="B108">
        <v>2021</v>
      </c>
      <c r="C108" t="s">
        <v>161</v>
      </c>
      <c r="D108" t="s">
        <v>59</v>
      </c>
      <c r="E108" t="s">
        <v>36</v>
      </c>
      <c r="F108" t="s">
        <v>22</v>
      </c>
      <c r="G108" t="s">
        <v>36</v>
      </c>
      <c r="H108" t="s">
        <v>16</v>
      </c>
      <c r="I108" t="s">
        <v>22</v>
      </c>
      <c r="J108" t="s">
        <v>29</v>
      </c>
      <c r="K108" t="s">
        <v>18</v>
      </c>
      <c r="L108">
        <v>36</v>
      </c>
    </row>
    <row r="109" spans="1:12">
      <c r="A109">
        <v>108</v>
      </c>
      <c r="B109">
        <v>2025</v>
      </c>
      <c r="C109" t="s">
        <v>162</v>
      </c>
      <c r="D109" t="s">
        <v>43</v>
      </c>
      <c r="E109" t="s">
        <v>15</v>
      </c>
      <c r="F109" t="s">
        <v>27</v>
      </c>
      <c r="G109" t="s">
        <v>15</v>
      </c>
      <c r="H109" t="s">
        <v>16</v>
      </c>
      <c r="I109" t="s">
        <v>15</v>
      </c>
      <c r="J109" t="s">
        <v>87</v>
      </c>
      <c r="K109" t="s">
        <v>24</v>
      </c>
      <c r="L109">
        <v>4</v>
      </c>
    </row>
    <row r="110" spans="1:12">
      <c r="A110">
        <v>109</v>
      </c>
      <c r="B110">
        <v>2021</v>
      </c>
      <c r="C110" t="s">
        <v>163</v>
      </c>
      <c r="D110" t="s">
        <v>31</v>
      </c>
      <c r="E110" t="s">
        <v>27</v>
      </c>
      <c r="F110" t="s">
        <v>15</v>
      </c>
      <c r="G110" t="s">
        <v>27</v>
      </c>
      <c r="H110" t="s">
        <v>16</v>
      </c>
      <c r="I110" t="s">
        <v>15</v>
      </c>
      <c r="J110" t="s">
        <v>152</v>
      </c>
      <c r="K110" t="s">
        <v>18</v>
      </c>
      <c r="L110">
        <v>96</v>
      </c>
    </row>
    <row r="111" spans="1:12">
      <c r="A111">
        <v>110</v>
      </c>
      <c r="B111">
        <v>2024</v>
      </c>
      <c r="C111" t="s">
        <v>164</v>
      </c>
      <c r="D111" t="s">
        <v>46</v>
      </c>
      <c r="E111" t="s">
        <v>56</v>
      </c>
      <c r="F111" t="s">
        <v>36</v>
      </c>
      <c r="G111" t="s">
        <v>56</v>
      </c>
      <c r="H111" t="s">
        <v>28</v>
      </c>
      <c r="I111" t="s">
        <v>56</v>
      </c>
      <c r="J111" t="s">
        <v>90</v>
      </c>
      <c r="K111" t="s">
        <v>18</v>
      </c>
      <c r="L111">
        <v>94</v>
      </c>
    </row>
    <row r="112" spans="1:12">
      <c r="A112">
        <v>111</v>
      </c>
      <c r="B112">
        <v>2024</v>
      </c>
      <c r="C112" t="s">
        <v>165</v>
      </c>
      <c r="D112" t="s">
        <v>31</v>
      </c>
      <c r="E112" t="s">
        <v>14</v>
      </c>
      <c r="F112" t="s">
        <v>50</v>
      </c>
      <c r="G112" t="s">
        <v>50</v>
      </c>
      <c r="H112" t="s">
        <v>28</v>
      </c>
      <c r="I112" t="s">
        <v>50</v>
      </c>
      <c r="J112" t="s">
        <v>17</v>
      </c>
      <c r="K112" t="s">
        <v>24</v>
      </c>
      <c r="L112">
        <v>8</v>
      </c>
    </row>
    <row r="113" spans="1:12">
      <c r="A113">
        <v>112</v>
      </c>
      <c r="B113">
        <v>2023</v>
      </c>
      <c r="C113" t="s">
        <v>166</v>
      </c>
      <c r="D113" t="s">
        <v>43</v>
      </c>
      <c r="E113" t="s">
        <v>50</v>
      </c>
      <c r="F113" t="s">
        <v>27</v>
      </c>
      <c r="G113" t="s">
        <v>50</v>
      </c>
      <c r="H113" t="s">
        <v>16</v>
      </c>
      <c r="I113" t="s">
        <v>27</v>
      </c>
      <c r="J113" t="s">
        <v>90</v>
      </c>
      <c r="K113" t="s">
        <v>24</v>
      </c>
      <c r="L113">
        <v>7</v>
      </c>
    </row>
    <row r="114" spans="1:12">
      <c r="A114">
        <v>113</v>
      </c>
      <c r="B114">
        <v>2023</v>
      </c>
      <c r="C114" t="s">
        <v>167</v>
      </c>
      <c r="D114" t="s">
        <v>20</v>
      </c>
      <c r="E114" t="s">
        <v>47</v>
      </c>
      <c r="F114" t="s">
        <v>36</v>
      </c>
      <c r="G114" t="s">
        <v>36</v>
      </c>
      <c r="H114" t="s">
        <v>16</v>
      </c>
      <c r="I114" t="s">
        <v>47</v>
      </c>
      <c r="J114" t="s">
        <v>23</v>
      </c>
      <c r="K114" t="s">
        <v>18</v>
      </c>
      <c r="L114">
        <v>56</v>
      </c>
    </row>
    <row r="115" spans="1:12">
      <c r="A115">
        <v>114</v>
      </c>
      <c r="B115">
        <v>2024</v>
      </c>
      <c r="C115" t="s">
        <v>168</v>
      </c>
      <c r="D115" t="s">
        <v>35</v>
      </c>
      <c r="E115" t="s">
        <v>56</v>
      </c>
      <c r="F115" t="s">
        <v>47</v>
      </c>
      <c r="G115" t="s">
        <v>47</v>
      </c>
      <c r="H115" t="s">
        <v>28</v>
      </c>
      <c r="I115" t="s">
        <v>56</v>
      </c>
      <c r="J115" t="s">
        <v>81</v>
      </c>
      <c r="K115" t="s">
        <v>24</v>
      </c>
      <c r="L115">
        <v>6</v>
      </c>
    </row>
    <row r="116" spans="1:12">
      <c r="A116">
        <v>115</v>
      </c>
      <c r="B116">
        <v>2022</v>
      </c>
      <c r="C116" t="s">
        <v>169</v>
      </c>
      <c r="D116" t="s">
        <v>26</v>
      </c>
      <c r="E116" t="s">
        <v>47</v>
      </c>
      <c r="F116" t="s">
        <v>21</v>
      </c>
      <c r="G116" t="s">
        <v>47</v>
      </c>
      <c r="H116" t="s">
        <v>16</v>
      </c>
      <c r="I116" t="s">
        <v>47</v>
      </c>
      <c r="J116" t="s">
        <v>74</v>
      </c>
      <c r="K116" t="s">
        <v>18</v>
      </c>
      <c r="L116">
        <v>96</v>
      </c>
    </row>
    <row r="117" spans="1:12">
      <c r="A117">
        <v>116</v>
      </c>
      <c r="B117">
        <v>2022</v>
      </c>
      <c r="C117" t="s">
        <v>170</v>
      </c>
      <c r="D117" t="s">
        <v>35</v>
      </c>
      <c r="E117" t="s">
        <v>36</v>
      </c>
      <c r="F117" t="s">
        <v>14</v>
      </c>
      <c r="G117" t="s">
        <v>14</v>
      </c>
      <c r="H117" t="s">
        <v>16</v>
      </c>
      <c r="I117" t="s">
        <v>14</v>
      </c>
      <c r="J117" t="s">
        <v>57</v>
      </c>
      <c r="K117" t="s">
        <v>24</v>
      </c>
      <c r="L117">
        <v>1</v>
      </c>
    </row>
    <row r="118" spans="1:12">
      <c r="A118">
        <v>117</v>
      </c>
      <c r="B118">
        <v>2023</v>
      </c>
      <c r="C118" t="s">
        <v>171</v>
      </c>
      <c r="D118" t="s">
        <v>46</v>
      </c>
      <c r="E118" t="s">
        <v>56</v>
      </c>
      <c r="F118" t="s">
        <v>21</v>
      </c>
      <c r="G118" t="s">
        <v>56</v>
      </c>
      <c r="H118" t="s">
        <v>16</v>
      </c>
      <c r="I118" t="s">
        <v>21</v>
      </c>
      <c r="J118" t="s">
        <v>95</v>
      </c>
      <c r="K118" t="s">
        <v>18</v>
      </c>
      <c r="L118">
        <v>45</v>
      </c>
    </row>
    <row r="119" spans="1:12">
      <c r="A119">
        <v>118</v>
      </c>
      <c r="B119">
        <v>2021</v>
      </c>
      <c r="C119" t="s">
        <v>172</v>
      </c>
      <c r="D119" t="s">
        <v>35</v>
      </c>
      <c r="E119" t="s">
        <v>15</v>
      </c>
      <c r="F119" t="s">
        <v>22</v>
      </c>
      <c r="G119" t="s">
        <v>22</v>
      </c>
      <c r="H119" t="s">
        <v>16</v>
      </c>
      <c r="I119" t="s">
        <v>22</v>
      </c>
      <c r="J119" t="s">
        <v>87</v>
      </c>
      <c r="K119" t="s">
        <v>18</v>
      </c>
      <c r="L119">
        <v>35</v>
      </c>
    </row>
    <row r="120" spans="1:12">
      <c r="A120">
        <v>119</v>
      </c>
      <c r="B120">
        <v>2023</v>
      </c>
      <c r="C120" t="s">
        <v>173</v>
      </c>
      <c r="D120" t="s">
        <v>46</v>
      </c>
      <c r="E120" t="s">
        <v>14</v>
      </c>
      <c r="F120" t="s">
        <v>27</v>
      </c>
      <c r="G120" t="s">
        <v>14</v>
      </c>
      <c r="H120" t="s">
        <v>28</v>
      </c>
      <c r="I120" t="s">
        <v>14</v>
      </c>
      <c r="J120" t="s">
        <v>29</v>
      </c>
      <c r="K120" t="s">
        <v>18</v>
      </c>
      <c r="L120">
        <v>12</v>
      </c>
    </row>
    <row r="121" spans="1:12">
      <c r="A121">
        <v>120</v>
      </c>
      <c r="B121">
        <v>2024</v>
      </c>
      <c r="C121" t="s">
        <v>174</v>
      </c>
      <c r="D121" t="s">
        <v>43</v>
      </c>
      <c r="E121" t="s">
        <v>32</v>
      </c>
      <c r="F121" t="s">
        <v>47</v>
      </c>
      <c r="G121" t="s">
        <v>47</v>
      </c>
      <c r="H121" t="s">
        <v>16</v>
      </c>
      <c r="I121" t="s">
        <v>47</v>
      </c>
      <c r="J121" t="s">
        <v>53</v>
      </c>
      <c r="K121" t="s">
        <v>24</v>
      </c>
      <c r="L121">
        <v>10</v>
      </c>
    </row>
    <row r="122" spans="1:12">
      <c r="A122">
        <v>121</v>
      </c>
      <c r="B122">
        <v>2021</v>
      </c>
      <c r="C122" t="s">
        <v>175</v>
      </c>
      <c r="D122" t="s">
        <v>43</v>
      </c>
      <c r="E122" t="s">
        <v>27</v>
      </c>
      <c r="F122" t="s">
        <v>50</v>
      </c>
      <c r="G122" t="s">
        <v>27</v>
      </c>
      <c r="H122" t="s">
        <v>16</v>
      </c>
      <c r="I122" t="s">
        <v>50</v>
      </c>
      <c r="J122" t="s">
        <v>76</v>
      </c>
      <c r="K122" t="s">
        <v>24</v>
      </c>
      <c r="L122">
        <v>8</v>
      </c>
    </row>
    <row r="123" spans="1:12">
      <c r="A123">
        <v>122</v>
      </c>
      <c r="B123">
        <v>2024</v>
      </c>
      <c r="C123" t="s">
        <v>176</v>
      </c>
      <c r="D123" t="s">
        <v>20</v>
      </c>
      <c r="E123" t="s">
        <v>15</v>
      </c>
      <c r="F123" t="s">
        <v>22</v>
      </c>
      <c r="G123" t="s">
        <v>15</v>
      </c>
      <c r="H123" t="s">
        <v>28</v>
      </c>
      <c r="I123" t="s">
        <v>22</v>
      </c>
      <c r="J123" t="s">
        <v>17</v>
      </c>
      <c r="K123" t="s">
        <v>24</v>
      </c>
      <c r="L123">
        <v>10</v>
      </c>
    </row>
    <row r="124" spans="1:12">
      <c r="A124">
        <v>123</v>
      </c>
      <c r="B124">
        <v>2023</v>
      </c>
      <c r="C124" t="s">
        <v>177</v>
      </c>
      <c r="D124" t="s">
        <v>59</v>
      </c>
      <c r="E124" t="s">
        <v>14</v>
      </c>
      <c r="F124" t="s">
        <v>22</v>
      </c>
      <c r="G124" t="s">
        <v>22</v>
      </c>
      <c r="H124" t="s">
        <v>16</v>
      </c>
      <c r="I124" t="s">
        <v>14</v>
      </c>
      <c r="J124" t="s">
        <v>66</v>
      </c>
      <c r="K124" t="s">
        <v>24</v>
      </c>
      <c r="L124">
        <v>4</v>
      </c>
    </row>
    <row r="125" spans="1:12">
      <c r="A125">
        <v>124</v>
      </c>
      <c r="B125">
        <v>2023</v>
      </c>
      <c r="C125" t="s">
        <v>178</v>
      </c>
      <c r="D125" t="s">
        <v>13</v>
      </c>
      <c r="E125" t="s">
        <v>15</v>
      </c>
      <c r="F125" t="s">
        <v>56</v>
      </c>
      <c r="G125" t="s">
        <v>15</v>
      </c>
      <c r="H125" t="s">
        <v>16</v>
      </c>
      <c r="I125" t="s">
        <v>56</v>
      </c>
      <c r="J125" t="s">
        <v>74</v>
      </c>
      <c r="K125" t="s">
        <v>18</v>
      </c>
      <c r="L125">
        <v>17</v>
      </c>
    </row>
    <row r="126" spans="1:12">
      <c r="A126">
        <v>125</v>
      </c>
      <c r="B126">
        <v>2022</v>
      </c>
      <c r="C126" t="s">
        <v>179</v>
      </c>
      <c r="D126" t="s">
        <v>20</v>
      </c>
      <c r="E126" t="s">
        <v>36</v>
      </c>
      <c r="F126" t="s">
        <v>50</v>
      </c>
      <c r="G126" t="s">
        <v>50</v>
      </c>
      <c r="H126" t="s">
        <v>16</v>
      </c>
      <c r="I126" t="s">
        <v>50</v>
      </c>
      <c r="J126" t="s">
        <v>33</v>
      </c>
      <c r="K126" t="s">
        <v>24</v>
      </c>
      <c r="L126">
        <v>1</v>
      </c>
    </row>
    <row r="127" spans="1:12">
      <c r="A127">
        <v>126</v>
      </c>
      <c r="B127">
        <v>2023</v>
      </c>
      <c r="C127" t="s">
        <v>180</v>
      </c>
      <c r="D127" t="s">
        <v>26</v>
      </c>
      <c r="E127" t="s">
        <v>50</v>
      </c>
      <c r="F127" t="s">
        <v>32</v>
      </c>
      <c r="G127" t="s">
        <v>32</v>
      </c>
      <c r="H127" t="s">
        <v>28</v>
      </c>
      <c r="I127" t="s">
        <v>32</v>
      </c>
      <c r="J127" t="s">
        <v>17</v>
      </c>
      <c r="K127" t="s">
        <v>24</v>
      </c>
      <c r="L127">
        <v>1</v>
      </c>
    </row>
    <row r="128" spans="1:12">
      <c r="A128">
        <v>127</v>
      </c>
      <c r="B128">
        <v>2025</v>
      </c>
      <c r="C128" t="s">
        <v>181</v>
      </c>
      <c r="D128" t="s">
        <v>13</v>
      </c>
      <c r="E128" t="s">
        <v>47</v>
      </c>
      <c r="F128" t="s">
        <v>56</v>
      </c>
      <c r="G128" t="s">
        <v>47</v>
      </c>
      <c r="H128" t="s">
        <v>28</v>
      </c>
      <c r="I128" t="s">
        <v>47</v>
      </c>
      <c r="J128" t="s">
        <v>95</v>
      </c>
      <c r="K128" t="s">
        <v>24</v>
      </c>
      <c r="L128">
        <v>10</v>
      </c>
    </row>
    <row r="129" spans="1:12">
      <c r="A129">
        <v>128</v>
      </c>
      <c r="B129">
        <v>2021</v>
      </c>
      <c r="C129" t="s">
        <v>166</v>
      </c>
      <c r="D129" t="s">
        <v>31</v>
      </c>
      <c r="E129" t="s">
        <v>32</v>
      </c>
      <c r="F129" t="s">
        <v>15</v>
      </c>
      <c r="G129" t="s">
        <v>15</v>
      </c>
      <c r="H129" t="s">
        <v>16</v>
      </c>
      <c r="I129" t="s">
        <v>15</v>
      </c>
      <c r="J129" t="s">
        <v>39</v>
      </c>
      <c r="K129" t="s">
        <v>18</v>
      </c>
      <c r="L129">
        <v>66</v>
      </c>
    </row>
    <row r="130" spans="1:12">
      <c r="A130">
        <v>129</v>
      </c>
      <c r="B130">
        <v>2025</v>
      </c>
      <c r="C130" t="s">
        <v>182</v>
      </c>
      <c r="D130" t="s">
        <v>38</v>
      </c>
      <c r="E130" t="s">
        <v>22</v>
      </c>
      <c r="F130" t="s">
        <v>56</v>
      </c>
      <c r="G130" t="s">
        <v>56</v>
      </c>
      <c r="H130" t="s">
        <v>16</v>
      </c>
      <c r="I130" t="s">
        <v>22</v>
      </c>
      <c r="J130" t="s">
        <v>17</v>
      </c>
      <c r="K130" t="s">
        <v>18</v>
      </c>
      <c r="L130">
        <v>33</v>
      </c>
    </row>
    <row r="131" spans="1:12">
      <c r="A131">
        <v>130</v>
      </c>
      <c r="B131">
        <v>2025</v>
      </c>
      <c r="C131" t="s">
        <v>183</v>
      </c>
      <c r="D131" t="s">
        <v>43</v>
      </c>
      <c r="E131" t="s">
        <v>27</v>
      </c>
      <c r="F131" t="s">
        <v>21</v>
      </c>
      <c r="G131" t="s">
        <v>27</v>
      </c>
      <c r="H131" t="s">
        <v>28</v>
      </c>
      <c r="I131" t="s">
        <v>21</v>
      </c>
      <c r="J131" t="s">
        <v>62</v>
      </c>
      <c r="K131" t="s">
        <v>24</v>
      </c>
      <c r="L131">
        <v>10</v>
      </c>
    </row>
    <row r="132" spans="1:12">
      <c r="A132">
        <v>131</v>
      </c>
      <c r="B132">
        <v>2023</v>
      </c>
      <c r="C132" t="s">
        <v>184</v>
      </c>
      <c r="D132" t="s">
        <v>49</v>
      </c>
      <c r="E132" t="s">
        <v>27</v>
      </c>
      <c r="F132" t="s">
        <v>47</v>
      </c>
      <c r="G132" t="s">
        <v>27</v>
      </c>
      <c r="H132" t="s">
        <v>28</v>
      </c>
      <c r="I132" t="s">
        <v>47</v>
      </c>
      <c r="J132" t="s">
        <v>53</v>
      </c>
      <c r="K132" t="s">
        <v>24</v>
      </c>
      <c r="L132">
        <v>10</v>
      </c>
    </row>
    <row r="133" spans="1:12">
      <c r="A133">
        <v>132</v>
      </c>
      <c r="B133">
        <v>2025</v>
      </c>
      <c r="C133" t="s">
        <v>185</v>
      </c>
      <c r="D133" t="s">
        <v>31</v>
      </c>
      <c r="E133" t="s">
        <v>21</v>
      </c>
      <c r="F133" t="s">
        <v>15</v>
      </c>
      <c r="G133" t="s">
        <v>15</v>
      </c>
      <c r="H133" t="s">
        <v>28</v>
      </c>
      <c r="I133" t="s">
        <v>21</v>
      </c>
      <c r="J133" t="s">
        <v>33</v>
      </c>
      <c r="K133" t="s">
        <v>24</v>
      </c>
      <c r="L133">
        <v>5</v>
      </c>
    </row>
    <row r="134" spans="1:12">
      <c r="A134">
        <v>133</v>
      </c>
      <c r="B134">
        <v>2021</v>
      </c>
      <c r="C134" t="s">
        <v>186</v>
      </c>
      <c r="D134" t="s">
        <v>43</v>
      </c>
      <c r="E134" t="s">
        <v>50</v>
      </c>
      <c r="F134" t="s">
        <v>36</v>
      </c>
      <c r="G134" t="s">
        <v>36</v>
      </c>
      <c r="H134" t="s">
        <v>28</v>
      </c>
      <c r="I134" t="s">
        <v>50</v>
      </c>
      <c r="J134" t="s">
        <v>76</v>
      </c>
      <c r="K134" t="s">
        <v>18</v>
      </c>
      <c r="L134">
        <v>42</v>
      </c>
    </row>
    <row r="135" spans="1:12">
      <c r="A135">
        <v>134</v>
      </c>
      <c r="B135">
        <v>2025</v>
      </c>
      <c r="C135" t="s">
        <v>187</v>
      </c>
      <c r="D135" t="s">
        <v>38</v>
      </c>
      <c r="E135" t="s">
        <v>27</v>
      </c>
      <c r="F135" t="s">
        <v>14</v>
      </c>
      <c r="G135" t="s">
        <v>14</v>
      </c>
      <c r="H135" t="s">
        <v>16</v>
      </c>
      <c r="I135" t="s">
        <v>14</v>
      </c>
      <c r="J135" t="s">
        <v>64</v>
      </c>
      <c r="K135" t="s">
        <v>18</v>
      </c>
      <c r="L135">
        <v>6</v>
      </c>
    </row>
    <row r="136" spans="1:12">
      <c r="A136">
        <v>135</v>
      </c>
      <c r="B136">
        <v>2024</v>
      </c>
      <c r="C136" t="s">
        <v>188</v>
      </c>
      <c r="D136" t="s">
        <v>26</v>
      </c>
      <c r="E136" t="s">
        <v>47</v>
      </c>
      <c r="F136" t="s">
        <v>36</v>
      </c>
      <c r="G136" t="s">
        <v>47</v>
      </c>
      <c r="H136" t="s">
        <v>28</v>
      </c>
      <c r="I136" t="s">
        <v>36</v>
      </c>
      <c r="J136" t="s">
        <v>53</v>
      </c>
      <c r="K136" t="s">
        <v>24</v>
      </c>
      <c r="L136">
        <v>7</v>
      </c>
    </row>
    <row r="137" spans="1:12">
      <c r="A137">
        <v>136</v>
      </c>
      <c r="B137">
        <v>2025</v>
      </c>
      <c r="C137" t="s">
        <v>189</v>
      </c>
      <c r="D137" t="s">
        <v>35</v>
      </c>
      <c r="E137" t="s">
        <v>14</v>
      </c>
      <c r="F137" t="s">
        <v>56</v>
      </c>
      <c r="G137" t="s">
        <v>14</v>
      </c>
      <c r="H137" t="s">
        <v>28</v>
      </c>
      <c r="I137" t="s">
        <v>14</v>
      </c>
      <c r="J137" t="s">
        <v>23</v>
      </c>
      <c r="K137" t="s">
        <v>24</v>
      </c>
      <c r="L137">
        <v>5</v>
      </c>
    </row>
    <row r="138" spans="1:12">
      <c r="A138">
        <v>137</v>
      </c>
      <c r="B138">
        <v>2025</v>
      </c>
      <c r="C138" t="s">
        <v>190</v>
      </c>
      <c r="D138" t="s">
        <v>43</v>
      </c>
      <c r="E138" t="s">
        <v>27</v>
      </c>
      <c r="F138" t="s">
        <v>56</v>
      </c>
      <c r="G138" t="s">
        <v>27</v>
      </c>
      <c r="H138" t="s">
        <v>16</v>
      </c>
      <c r="I138" t="s">
        <v>56</v>
      </c>
      <c r="J138" t="s">
        <v>53</v>
      </c>
      <c r="K138" t="s">
        <v>24</v>
      </c>
      <c r="L138">
        <v>3</v>
      </c>
    </row>
    <row r="139" spans="1:12">
      <c r="A139">
        <v>138</v>
      </c>
      <c r="B139">
        <v>2021</v>
      </c>
      <c r="C139" t="s">
        <v>191</v>
      </c>
      <c r="D139" t="s">
        <v>13</v>
      </c>
      <c r="E139" t="s">
        <v>15</v>
      </c>
      <c r="F139" t="s">
        <v>36</v>
      </c>
      <c r="G139" t="s">
        <v>36</v>
      </c>
      <c r="H139" t="s">
        <v>28</v>
      </c>
      <c r="I139" t="s">
        <v>15</v>
      </c>
      <c r="J139" t="s">
        <v>152</v>
      </c>
      <c r="K139" t="s">
        <v>18</v>
      </c>
      <c r="L139">
        <v>83</v>
      </c>
    </row>
    <row r="140" spans="1:12">
      <c r="A140">
        <v>139</v>
      </c>
      <c r="B140">
        <v>2023</v>
      </c>
      <c r="C140" t="s">
        <v>192</v>
      </c>
      <c r="D140" t="s">
        <v>38</v>
      </c>
      <c r="E140" t="s">
        <v>14</v>
      </c>
      <c r="F140" t="s">
        <v>56</v>
      </c>
      <c r="G140" t="s">
        <v>56</v>
      </c>
      <c r="H140" t="s">
        <v>16</v>
      </c>
      <c r="I140" t="s">
        <v>14</v>
      </c>
      <c r="J140" t="s">
        <v>81</v>
      </c>
      <c r="K140" t="s">
        <v>24</v>
      </c>
      <c r="L140">
        <v>4</v>
      </c>
    </row>
    <row r="141" spans="1:12">
      <c r="A141">
        <v>140</v>
      </c>
      <c r="B141">
        <v>2022</v>
      </c>
      <c r="C141" t="s">
        <v>193</v>
      </c>
      <c r="D141" t="s">
        <v>13</v>
      </c>
      <c r="E141" t="s">
        <v>21</v>
      </c>
      <c r="F141" t="s">
        <v>15</v>
      </c>
      <c r="G141" t="s">
        <v>21</v>
      </c>
      <c r="H141" t="s">
        <v>16</v>
      </c>
      <c r="I141" t="s">
        <v>15</v>
      </c>
      <c r="J141" t="s">
        <v>90</v>
      </c>
      <c r="K141" t="s">
        <v>18</v>
      </c>
      <c r="L141">
        <v>77</v>
      </c>
    </row>
    <row r="142" spans="1:12">
      <c r="A142">
        <v>141</v>
      </c>
      <c r="B142">
        <v>2022</v>
      </c>
      <c r="C142" t="s">
        <v>194</v>
      </c>
      <c r="D142" t="s">
        <v>43</v>
      </c>
      <c r="E142" t="s">
        <v>27</v>
      </c>
      <c r="F142" t="s">
        <v>50</v>
      </c>
      <c r="G142" t="s">
        <v>50</v>
      </c>
      <c r="H142" t="s">
        <v>16</v>
      </c>
      <c r="I142" t="s">
        <v>50</v>
      </c>
      <c r="J142" t="s">
        <v>57</v>
      </c>
      <c r="K142" t="s">
        <v>18</v>
      </c>
      <c r="L142">
        <v>57</v>
      </c>
    </row>
    <row r="143" spans="1:12">
      <c r="A143">
        <v>142</v>
      </c>
      <c r="B143">
        <v>2024</v>
      </c>
      <c r="C143" t="s">
        <v>135</v>
      </c>
      <c r="D143" t="s">
        <v>20</v>
      </c>
      <c r="E143" t="s">
        <v>22</v>
      </c>
      <c r="F143" t="s">
        <v>36</v>
      </c>
      <c r="G143" t="s">
        <v>22</v>
      </c>
      <c r="H143" t="s">
        <v>28</v>
      </c>
      <c r="I143" t="s">
        <v>36</v>
      </c>
      <c r="J143" t="s">
        <v>66</v>
      </c>
      <c r="K143" t="s">
        <v>24</v>
      </c>
      <c r="L143">
        <v>10</v>
      </c>
    </row>
    <row r="144" spans="1:12">
      <c r="A144">
        <v>143</v>
      </c>
      <c r="B144">
        <v>2023</v>
      </c>
      <c r="C144" t="s">
        <v>195</v>
      </c>
      <c r="D144" t="s">
        <v>35</v>
      </c>
      <c r="E144" t="s">
        <v>32</v>
      </c>
      <c r="F144" t="s">
        <v>36</v>
      </c>
      <c r="G144" t="s">
        <v>36</v>
      </c>
      <c r="H144" t="s">
        <v>16</v>
      </c>
      <c r="I144" t="s">
        <v>32</v>
      </c>
      <c r="J144" t="s">
        <v>90</v>
      </c>
      <c r="K144" t="s">
        <v>18</v>
      </c>
      <c r="L144">
        <v>112</v>
      </c>
    </row>
    <row r="145" spans="1:12">
      <c r="A145">
        <v>144</v>
      </c>
      <c r="B145">
        <v>2024</v>
      </c>
      <c r="C145" t="s">
        <v>196</v>
      </c>
      <c r="D145" t="s">
        <v>20</v>
      </c>
      <c r="E145" t="s">
        <v>56</v>
      </c>
      <c r="F145" t="s">
        <v>36</v>
      </c>
      <c r="G145" t="s">
        <v>56</v>
      </c>
      <c r="H145" t="s">
        <v>16</v>
      </c>
      <c r="I145" t="s">
        <v>36</v>
      </c>
      <c r="J145" t="s">
        <v>64</v>
      </c>
      <c r="K145" t="s">
        <v>18</v>
      </c>
      <c r="L145">
        <v>35</v>
      </c>
    </row>
    <row r="146" spans="1:12">
      <c r="A146">
        <v>145</v>
      </c>
      <c r="B146">
        <v>2022</v>
      </c>
      <c r="C146" t="s">
        <v>197</v>
      </c>
      <c r="D146" t="s">
        <v>13</v>
      </c>
      <c r="E146" t="s">
        <v>32</v>
      </c>
      <c r="F146" t="s">
        <v>21</v>
      </c>
      <c r="G146" t="s">
        <v>32</v>
      </c>
      <c r="H146" t="s">
        <v>28</v>
      </c>
      <c r="I146" t="s">
        <v>21</v>
      </c>
      <c r="J146" t="s">
        <v>87</v>
      </c>
      <c r="K146" t="s">
        <v>24</v>
      </c>
      <c r="L146">
        <v>1</v>
      </c>
    </row>
    <row r="147" spans="1:12">
      <c r="A147">
        <v>146</v>
      </c>
      <c r="B147">
        <v>2023</v>
      </c>
      <c r="C147" t="s">
        <v>198</v>
      </c>
      <c r="D147" t="s">
        <v>26</v>
      </c>
      <c r="E147" t="s">
        <v>22</v>
      </c>
      <c r="F147" t="s">
        <v>32</v>
      </c>
      <c r="G147" t="s">
        <v>22</v>
      </c>
      <c r="H147" t="s">
        <v>28</v>
      </c>
      <c r="I147" t="s">
        <v>22</v>
      </c>
      <c r="J147" t="s">
        <v>87</v>
      </c>
      <c r="K147" t="s">
        <v>24</v>
      </c>
      <c r="L147">
        <v>2</v>
      </c>
    </row>
    <row r="148" spans="1:12">
      <c r="A148">
        <v>147</v>
      </c>
      <c r="B148">
        <v>2022</v>
      </c>
      <c r="C148" t="s">
        <v>199</v>
      </c>
      <c r="D148" t="s">
        <v>49</v>
      </c>
      <c r="E148" t="s">
        <v>27</v>
      </c>
      <c r="F148" t="s">
        <v>14</v>
      </c>
      <c r="G148" t="s">
        <v>14</v>
      </c>
      <c r="H148" t="s">
        <v>28</v>
      </c>
      <c r="I148" t="s">
        <v>27</v>
      </c>
      <c r="J148" t="s">
        <v>116</v>
      </c>
      <c r="K148" t="s">
        <v>24</v>
      </c>
      <c r="L148">
        <v>10</v>
      </c>
    </row>
    <row r="149" spans="1:12">
      <c r="A149">
        <v>148</v>
      </c>
      <c r="B149">
        <v>2021</v>
      </c>
      <c r="C149" t="s">
        <v>200</v>
      </c>
      <c r="D149" t="s">
        <v>31</v>
      </c>
      <c r="E149" t="s">
        <v>15</v>
      </c>
      <c r="F149" t="s">
        <v>22</v>
      </c>
      <c r="G149" t="s">
        <v>15</v>
      </c>
      <c r="H149" t="s">
        <v>28</v>
      </c>
      <c r="I149" t="s">
        <v>15</v>
      </c>
      <c r="J149" t="s">
        <v>53</v>
      </c>
      <c r="K149" t="s">
        <v>18</v>
      </c>
      <c r="L149">
        <v>39</v>
      </c>
    </row>
    <row r="150" spans="1:12">
      <c r="A150">
        <v>149</v>
      </c>
      <c r="B150">
        <v>2022</v>
      </c>
      <c r="C150" t="s">
        <v>201</v>
      </c>
      <c r="D150" t="s">
        <v>46</v>
      </c>
      <c r="E150" t="s">
        <v>32</v>
      </c>
      <c r="F150" t="s">
        <v>47</v>
      </c>
      <c r="G150" t="s">
        <v>32</v>
      </c>
      <c r="H150" t="s">
        <v>16</v>
      </c>
      <c r="I150" t="s">
        <v>47</v>
      </c>
      <c r="J150" t="s">
        <v>90</v>
      </c>
      <c r="K150" t="s">
        <v>18</v>
      </c>
      <c r="L150">
        <v>81</v>
      </c>
    </row>
    <row r="151" spans="1:12">
      <c r="A151">
        <v>150</v>
      </c>
      <c r="B151">
        <v>2022</v>
      </c>
      <c r="C151" t="s">
        <v>202</v>
      </c>
      <c r="D151" t="s">
        <v>31</v>
      </c>
      <c r="E151" t="s">
        <v>27</v>
      </c>
      <c r="F151" t="s">
        <v>15</v>
      </c>
      <c r="G151" t="s">
        <v>15</v>
      </c>
      <c r="H151" t="s">
        <v>16</v>
      </c>
      <c r="I151" t="s">
        <v>15</v>
      </c>
      <c r="J151" t="s">
        <v>95</v>
      </c>
      <c r="K151" t="s">
        <v>24</v>
      </c>
      <c r="L151">
        <v>3</v>
      </c>
    </row>
    <row r="152" spans="1:12">
      <c r="A152">
        <v>151</v>
      </c>
      <c r="B152">
        <v>2023</v>
      </c>
      <c r="C152" t="s">
        <v>102</v>
      </c>
      <c r="D152" t="s">
        <v>35</v>
      </c>
      <c r="E152" t="s">
        <v>21</v>
      </c>
      <c r="F152" t="s">
        <v>36</v>
      </c>
      <c r="G152" t="s">
        <v>21</v>
      </c>
      <c r="H152" t="s">
        <v>28</v>
      </c>
      <c r="I152" t="s">
        <v>36</v>
      </c>
      <c r="J152" t="s">
        <v>33</v>
      </c>
      <c r="K152" t="s">
        <v>24</v>
      </c>
      <c r="L152">
        <v>6</v>
      </c>
    </row>
    <row r="153" spans="1:12">
      <c r="A153">
        <v>152</v>
      </c>
      <c r="B153">
        <v>2021</v>
      </c>
      <c r="C153" t="s">
        <v>203</v>
      </c>
      <c r="D153" t="s">
        <v>49</v>
      </c>
      <c r="E153" t="s">
        <v>56</v>
      </c>
      <c r="F153" t="s">
        <v>21</v>
      </c>
      <c r="G153" t="s">
        <v>21</v>
      </c>
      <c r="H153" t="s">
        <v>16</v>
      </c>
      <c r="I153" t="s">
        <v>56</v>
      </c>
      <c r="J153" t="s">
        <v>62</v>
      </c>
      <c r="K153" t="s">
        <v>24</v>
      </c>
      <c r="L153">
        <v>3</v>
      </c>
    </row>
    <row r="154" spans="1:12">
      <c r="A154">
        <v>153</v>
      </c>
      <c r="B154">
        <v>2025</v>
      </c>
      <c r="C154" t="s">
        <v>204</v>
      </c>
      <c r="D154" t="s">
        <v>20</v>
      </c>
      <c r="E154" t="s">
        <v>56</v>
      </c>
      <c r="F154" t="s">
        <v>27</v>
      </c>
      <c r="G154" t="s">
        <v>27</v>
      </c>
      <c r="H154" t="s">
        <v>28</v>
      </c>
      <c r="I154" t="s">
        <v>56</v>
      </c>
      <c r="J154" t="s">
        <v>29</v>
      </c>
      <c r="K154" t="s">
        <v>18</v>
      </c>
      <c r="L154">
        <v>92</v>
      </c>
    </row>
    <row r="155" spans="1:12">
      <c r="A155">
        <v>154</v>
      </c>
      <c r="B155">
        <v>2023</v>
      </c>
      <c r="C155" t="s">
        <v>205</v>
      </c>
      <c r="D155" t="s">
        <v>20</v>
      </c>
      <c r="E155" t="s">
        <v>22</v>
      </c>
      <c r="F155" t="s">
        <v>14</v>
      </c>
      <c r="G155" t="s">
        <v>22</v>
      </c>
      <c r="H155" t="s">
        <v>16</v>
      </c>
      <c r="I155" t="s">
        <v>14</v>
      </c>
      <c r="J155" t="s">
        <v>53</v>
      </c>
      <c r="K155" t="s">
        <v>24</v>
      </c>
      <c r="L155">
        <v>9</v>
      </c>
    </row>
    <row r="156" spans="1:12">
      <c r="A156">
        <v>155</v>
      </c>
      <c r="B156">
        <v>2021</v>
      </c>
      <c r="C156" t="s">
        <v>206</v>
      </c>
      <c r="D156" t="s">
        <v>26</v>
      </c>
      <c r="E156" t="s">
        <v>22</v>
      </c>
      <c r="F156" t="s">
        <v>15</v>
      </c>
      <c r="G156" t="s">
        <v>15</v>
      </c>
      <c r="H156" t="s">
        <v>16</v>
      </c>
      <c r="I156" t="s">
        <v>15</v>
      </c>
      <c r="J156" t="s">
        <v>44</v>
      </c>
      <c r="K156" t="s">
        <v>18</v>
      </c>
      <c r="L156">
        <v>103</v>
      </c>
    </row>
    <row r="157" spans="1:12">
      <c r="A157">
        <v>156</v>
      </c>
      <c r="B157">
        <v>2024</v>
      </c>
      <c r="C157" t="s">
        <v>207</v>
      </c>
      <c r="D157" t="s">
        <v>35</v>
      </c>
      <c r="E157" t="s">
        <v>47</v>
      </c>
      <c r="F157" t="s">
        <v>32</v>
      </c>
      <c r="G157" t="s">
        <v>32</v>
      </c>
      <c r="H157" t="s">
        <v>16</v>
      </c>
      <c r="I157" t="s">
        <v>32</v>
      </c>
      <c r="J157" t="s">
        <v>116</v>
      </c>
      <c r="K157" t="s">
        <v>24</v>
      </c>
      <c r="L157">
        <v>9</v>
      </c>
    </row>
    <row r="158" spans="1:12">
      <c r="A158">
        <v>157</v>
      </c>
      <c r="B158">
        <v>2021</v>
      </c>
      <c r="C158" t="s">
        <v>208</v>
      </c>
      <c r="D158" t="s">
        <v>26</v>
      </c>
      <c r="E158" t="s">
        <v>32</v>
      </c>
      <c r="F158" t="s">
        <v>21</v>
      </c>
      <c r="G158" t="s">
        <v>21</v>
      </c>
      <c r="H158" t="s">
        <v>16</v>
      </c>
      <c r="I158" t="s">
        <v>21</v>
      </c>
      <c r="J158" t="s">
        <v>81</v>
      </c>
      <c r="K158" t="s">
        <v>18</v>
      </c>
      <c r="L158">
        <v>11</v>
      </c>
    </row>
    <row r="159" spans="1:12">
      <c r="A159">
        <v>158</v>
      </c>
      <c r="B159">
        <v>2023</v>
      </c>
      <c r="C159" t="s">
        <v>209</v>
      </c>
      <c r="D159" t="s">
        <v>26</v>
      </c>
      <c r="E159" t="s">
        <v>15</v>
      </c>
      <c r="F159" t="s">
        <v>47</v>
      </c>
      <c r="G159" t="s">
        <v>47</v>
      </c>
      <c r="H159" t="s">
        <v>16</v>
      </c>
      <c r="I159" t="s">
        <v>47</v>
      </c>
      <c r="J159" t="s">
        <v>57</v>
      </c>
      <c r="K159" t="s">
        <v>24</v>
      </c>
      <c r="L159">
        <v>1</v>
      </c>
    </row>
    <row r="160" spans="1:12">
      <c r="A160">
        <v>159</v>
      </c>
      <c r="B160">
        <v>2024</v>
      </c>
      <c r="C160" t="s">
        <v>210</v>
      </c>
      <c r="D160" t="s">
        <v>59</v>
      </c>
      <c r="E160" t="s">
        <v>15</v>
      </c>
      <c r="F160" t="s">
        <v>14</v>
      </c>
      <c r="G160" t="s">
        <v>15</v>
      </c>
      <c r="H160" t="s">
        <v>28</v>
      </c>
      <c r="I160" t="s">
        <v>14</v>
      </c>
      <c r="J160" t="s">
        <v>152</v>
      </c>
      <c r="K160" t="s">
        <v>18</v>
      </c>
      <c r="L160">
        <v>4</v>
      </c>
    </row>
    <row r="161" spans="1:12">
      <c r="A161">
        <v>160</v>
      </c>
      <c r="B161">
        <v>2025</v>
      </c>
      <c r="C161" t="s">
        <v>211</v>
      </c>
      <c r="D161" t="s">
        <v>43</v>
      </c>
      <c r="E161" t="s">
        <v>47</v>
      </c>
      <c r="F161" t="s">
        <v>14</v>
      </c>
      <c r="G161" t="s">
        <v>47</v>
      </c>
      <c r="H161" t="s">
        <v>16</v>
      </c>
      <c r="I161" t="s">
        <v>47</v>
      </c>
      <c r="J161" t="s">
        <v>57</v>
      </c>
      <c r="K161" t="s">
        <v>24</v>
      </c>
      <c r="L161">
        <v>7</v>
      </c>
    </row>
    <row r="162" spans="1:12">
      <c r="A162">
        <v>161</v>
      </c>
      <c r="B162">
        <v>2025</v>
      </c>
      <c r="C162" t="s">
        <v>212</v>
      </c>
      <c r="D162" t="s">
        <v>26</v>
      </c>
      <c r="E162" t="s">
        <v>27</v>
      </c>
      <c r="F162" t="s">
        <v>47</v>
      </c>
      <c r="G162" t="s">
        <v>47</v>
      </c>
      <c r="H162" t="s">
        <v>28</v>
      </c>
      <c r="I162" t="s">
        <v>47</v>
      </c>
      <c r="J162" t="s">
        <v>64</v>
      </c>
      <c r="K162" t="s">
        <v>18</v>
      </c>
      <c r="L162">
        <v>68</v>
      </c>
    </row>
    <row r="163" spans="1:12">
      <c r="A163">
        <v>162</v>
      </c>
      <c r="B163">
        <v>2023</v>
      </c>
      <c r="C163" t="s">
        <v>213</v>
      </c>
      <c r="D163" t="s">
        <v>31</v>
      </c>
      <c r="E163" t="s">
        <v>15</v>
      </c>
      <c r="F163" t="s">
        <v>22</v>
      </c>
      <c r="G163" t="s">
        <v>15</v>
      </c>
      <c r="H163" t="s">
        <v>16</v>
      </c>
      <c r="I163" t="s">
        <v>15</v>
      </c>
      <c r="J163" t="s">
        <v>116</v>
      </c>
      <c r="K163" t="s">
        <v>24</v>
      </c>
      <c r="L163">
        <v>9</v>
      </c>
    </row>
    <row r="164" spans="1:12">
      <c r="A164">
        <v>163</v>
      </c>
      <c r="B164">
        <v>2023</v>
      </c>
      <c r="C164" t="s">
        <v>214</v>
      </c>
      <c r="D164" t="s">
        <v>31</v>
      </c>
      <c r="E164" t="s">
        <v>47</v>
      </c>
      <c r="F164" t="s">
        <v>22</v>
      </c>
      <c r="G164" t="s">
        <v>22</v>
      </c>
      <c r="H164" t="s">
        <v>28</v>
      </c>
      <c r="I164" t="s">
        <v>47</v>
      </c>
      <c r="J164" t="s">
        <v>17</v>
      </c>
      <c r="K164" t="s">
        <v>18</v>
      </c>
      <c r="L164">
        <v>110</v>
      </c>
    </row>
    <row r="165" spans="1:12">
      <c r="A165">
        <v>164</v>
      </c>
      <c r="B165">
        <v>2022</v>
      </c>
      <c r="C165" t="s">
        <v>215</v>
      </c>
      <c r="D165" t="s">
        <v>59</v>
      </c>
      <c r="E165" t="s">
        <v>47</v>
      </c>
      <c r="F165" t="s">
        <v>21</v>
      </c>
      <c r="G165" t="s">
        <v>21</v>
      </c>
      <c r="H165" t="s">
        <v>28</v>
      </c>
      <c r="I165" t="s">
        <v>47</v>
      </c>
      <c r="J165" t="s">
        <v>23</v>
      </c>
      <c r="K165" t="s">
        <v>24</v>
      </c>
      <c r="L165">
        <v>5</v>
      </c>
    </row>
    <row r="166" spans="1:12">
      <c r="A166">
        <v>165</v>
      </c>
      <c r="B166">
        <v>2022</v>
      </c>
      <c r="C166" t="s">
        <v>216</v>
      </c>
      <c r="D166" t="s">
        <v>20</v>
      </c>
      <c r="E166" t="s">
        <v>56</v>
      </c>
      <c r="F166" t="s">
        <v>36</v>
      </c>
      <c r="G166" t="s">
        <v>56</v>
      </c>
      <c r="H166" t="s">
        <v>16</v>
      </c>
      <c r="I166" t="s">
        <v>56</v>
      </c>
      <c r="J166" t="s">
        <v>29</v>
      </c>
      <c r="K166" t="s">
        <v>18</v>
      </c>
      <c r="L166">
        <v>102</v>
      </c>
    </row>
    <row r="167" spans="1:12">
      <c r="A167">
        <v>166</v>
      </c>
      <c r="B167">
        <v>2023</v>
      </c>
      <c r="C167" t="s">
        <v>217</v>
      </c>
      <c r="D167" t="s">
        <v>20</v>
      </c>
      <c r="E167" t="s">
        <v>36</v>
      </c>
      <c r="F167" t="s">
        <v>56</v>
      </c>
      <c r="G167" t="s">
        <v>56</v>
      </c>
      <c r="H167" t="s">
        <v>16</v>
      </c>
      <c r="I167" t="s">
        <v>36</v>
      </c>
      <c r="J167" t="s">
        <v>64</v>
      </c>
      <c r="K167" t="s">
        <v>24</v>
      </c>
      <c r="L167">
        <v>7</v>
      </c>
    </row>
    <row r="168" spans="1:12">
      <c r="A168">
        <v>167</v>
      </c>
      <c r="B168">
        <v>2024</v>
      </c>
      <c r="C168" t="s">
        <v>218</v>
      </c>
      <c r="D168" t="s">
        <v>26</v>
      </c>
      <c r="E168" t="s">
        <v>32</v>
      </c>
      <c r="F168" t="s">
        <v>21</v>
      </c>
      <c r="G168" t="s">
        <v>32</v>
      </c>
      <c r="H168" t="s">
        <v>28</v>
      </c>
      <c r="I168" t="s">
        <v>32</v>
      </c>
      <c r="J168" t="s">
        <v>76</v>
      </c>
      <c r="K168" t="s">
        <v>24</v>
      </c>
      <c r="L168">
        <v>9</v>
      </c>
    </row>
    <row r="169" spans="1:12">
      <c r="A169">
        <v>168</v>
      </c>
      <c r="B169">
        <v>2025</v>
      </c>
      <c r="C169" t="s">
        <v>219</v>
      </c>
      <c r="D169" t="s">
        <v>59</v>
      </c>
      <c r="E169" t="s">
        <v>50</v>
      </c>
      <c r="F169" t="s">
        <v>27</v>
      </c>
      <c r="G169" t="s">
        <v>50</v>
      </c>
      <c r="H169" t="s">
        <v>28</v>
      </c>
      <c r="I169" t="s">
        <v>50</v>
      </c>
      <c r="J169" t="s">
        <v>17</v>
      </c>
      <c r="K169" t="s">
        <v>18</v>
      </c>
      <c r="L169">
        <v>39</v>
      </c>
    </row>
    <row r="170" spans="1:12">
      <c r="A170">
        <v>169</v>
      </c>
      <c r="B170">
        <v>2023</v>
      </c>
      <c r="C170" t="s">
        <v>220</v>
      </c>
      <c r="D170" t="s">
        <v>35</v>
      </c>
      <c r="E170" t="s">
        <v>22</v>
      </c>
      <c r="F170" t="s">
        <v>56</v>
      </c>
      <c r="G170" t="s">
        <v>56</v>
      </c>
      <c r="H170" t="s">
        <v>16</v>
      </c>
      <c r="I170" t="s">
        <v>56</v>
      </c>
      <c r="J170" t="s">
        <v>66</v>
      </c>
      <c r="K170" t="s">
        <v>24</v>
      </c>
      <c r="L170">
        <v>3</v>
      </c>
    </row>
    <row r="171" spans="1:12">
      <c r="A171">
        <v>170</v>
      </c>
      <c r="B171">
        <v>2025</v>
      </c>
      <c r="C171" t="s">
        <v>221</v>
      </c>
      <c r="D171" t="s">
        <v>49</v>
      </c>
      <c r="E171" t="s">
        <v>21</v>
      </c>
      <c r="F171" t="s">
        <v>36</v>
      </c>
      <c r="G171" t="s">
        <v>21</v>
      </c>
      <c r="H171" t="s">
        <v>16</v>
      </c>
      <c r="I171" t="s">
        <v>21</v>
      </c>
      <c r="J171" t="s">
        <v>90</v>
      </c>
      <c r="K171" t="s">
        <v>24</v>
      </c>
      <c r="L171">
        <v>10</v>
      </c>
    </row>
    <row r="172" spans="1:12">
      <c r="A172">
        <v>171</v>
      </c>
      <c r="B172">
        <v>2021</v>
      </c>
      <c r="C172" t="s">
        <v>222</v>
      </c>
      <c r="D172" t="s">
        <v>46</v>
      </c>
      <c r="E172" t="s">
        <v>21</v>
      </c>
      <c r="F172" t="s">
        <v>14</v>
      </c>
      <c r="G172" t="s">
        <v>14</v>
      </c>
      <c r="H172" t="s">
        <v>16</v>
      </c>
      <c r="I172" t="s">
        <v>14</v>
      </c>
      <c r="J172" t="s">
        <v>90</v>
      </c>
      <c r="K172" t="s">
        <v>18</v>
      </c>
      <c r="L172">
        <v>64</v>
      </c>
    </row>
    <row r="173" spans="1:12">
      <c r="A173">
        <v>172</v>
      </c>
      <c r="B173">
        <v>2023</v>
      </c>
      <c r="C173" t="s">
        <v>223</v>
      </c>
      <c r="D173" t="s">
        <v>20</v>
      </c>
      <c r="E173" t="s">
        <v>47</v>
      </c>
      <c r="F173" t="s">
        <v>22</v>
      </c>
      <c r="G173" t="s">
        <v>22</v>
      </c>
      <c r="H173" t="s">
        <v>28</v>
      </c>
      <c r="I173" t="s">
        <v>22</v>
      </c>
      <c r="J173" t="s">
        <v>64</v>
      </c>
      <c r="K173" t="s">
        <v>18</v>
      </c>
      <c r="L173">
        <v>21</v>
      </c>
    </row>
    <row r="174" spans="1:12">
      <c r="A174">
        <v>173</v>
      </c>
      <c r="B174">
        <v>2024</v>
      </c>
      <c r="C174" t="s">
        <v>224</v>
      </c>
      <c r="D174" t="s">
        <v>59</v>
      </c>
      <c r="E174" t="s">
        <v>47</v>
      </c>
      <c r="F174" t="s">
        <v>22</v>
      </c>
      <c r="G174" t="s">
        <v>22</v>
      </c>
      <c r="H174" t="s">
        <v>16</v>
      </c>
      <c r="I174" t="s">
        <v>22</v>
      </c>
      <c r="J174" t="s">
        <v>81</v>
      </c>
      <c r="K174" t="s">
        <v>24</v>
      </c>
      <c r="L174">
        <v>7</v>
      </c>
    </row>
    <row r="175" spans="1:12">
      <c r="A175">
        <v>174</v>
      </c>
      <c r="B175">
        <v>2023</v>
      </c>
      <c r="C175" t="s">
        <v>225</v>
      </c>
      <c r="D175" t="s">
        <v>20</v>
      </c>
      <c r="E175" t="s">
        <v>36</v>
      </c>
      <c r="F175" t="s">
        <v>50</v>
      </c>
      <c r="G175" t="s">
        <v>36</v>
      </c>
      <c r="H175" t="s">
        <v>28</v>
      </c>
      <c r="I175" t="s">
        <v>36</v>
      </c>
      <c r="J175" t="s">
        <v>76</v>
      </c>
      <c r="K175" t="s">
        <v>18</v>
      </c>
      <c r="L175">
        <v>35</v>
      </c>
    </row>
    <row r="176" spans="1:12">
      <c r="A176">
        <v>175</v>
      </c>
      <c r="B176">
        <v>2022</v>
      </c>
      <c r="C176" t="s">
        <v>226</v>
      </c>
      <c r="D176" t="s">
        <v>26</v>
      </c>
      <c r="E176" t="s">
        <v>21</v>
      </c>
      <c r="F176" t="s">
        <v>14</v>
      </c>
      <c r="G176" t="s">
        <v>14</v>
      </c>
      <c r="H176" t="s">
        <v>28</v>
      </c>
      <c r="I176" t="s">
        <v>14</v>
      </c>
      <c r="J176" t="s">
        <v>95</v>
      </c>
      <c r="K176" t="s">
        <v>18</v>
      </c>
      <c r="L176">
        <v>105</v>
      </c>
    </row>
    <row r="177" spans="1:12">
      <c r="A177">
        <v>176</v>
      </c>
      <c r="B177">
        <v>2023</v>
      </c>
      <c r="C177" t="s">
        <v>227</v>
      </c>
      <c r="D177" t="s">
        <v>31</v>
      </c>
      <c r="E177" t="s">
        <v>22</v>
      </c>
      <c r="F177" t="s">
        <v>27</v>
      </c>
      <c r="G177" t="s">
        <v>27</v>
      </c>
      <c r="H177" t="s">
        <v>28</v>
      </c>
      <c r="I177" t="s">
        <v>27</v>
      </c>
      <c r="J177" t="s">
        <v>53</v>
      </c>
      <c r="K177" t="s">
        <v>24</v>
      </c>
      <c r="L177">
        <v>1</v>
      </c>
    </row>
    <row r="178" spans="1:12">
      <c r="A178">
        <v>177</v>
      </c>
      <c r="B178">
        <v>2025</v>
      </c>
      <c r="C178" t="s">
        <v>228</v>
      </c>
      <c r="D178" t="s">
        <v>43</v>
      </c>
      <c r="E178" t="s">
        <v>47</v>
      </c>
      <c r="F178" t="s">
        <v>22</v>
      </c>
      <c r="G178" t="s">
        <v>47</v>
      </c>
      <c r="H178" t="s">
        <v>28</v>
      </c>
      <c r="I178" t="s">
        <v>47</v>
      </c>
      <c r="J178" t="s">
        <v>33</v>
      </c>
      <c r="K178" t="s">
        <v>24</v>
      </c>
      <c r="L178">
        <v>8</v>
      </c>
    </row>
    <row r="179" spans="1:12">
      <c r="A179">
        <v>178</v>
      </c>
      <c r="B179">
        <v>2024</v>
      </c>
      <c r="C179" t="s">
        <v>229</v>
      </c>
      <c r="D179" t="s">
        <v>13</v>
      </c>
      <c r="E179" t="s">
        <v>15</v>
      </c>
      <c r="F179" t="s">
        <v>36</v>
      </c>
      <c r="G179" t="s">
        <v>15</v>
      </c>
      <c r="H179" t="s">
        <v>16</v>
      </c>
      <c r="I179" t="s">
        <v>36</v>
      </c>
      <c r="J179" t="s">
        <v>29</v>
      </c>
      <c r="K179" t="s">
        <v>24</v>
      </c>
      <c r="L179">
        <v>6</v>
      </c>
    </row>
    <row r="180" spans="1:12">
      <c r="A180">
        <v>179</v>
      </c>
      <c r="B180">
        <v>2021</v>
      </c>
      <c r="C180" t="s">
        <v>177</v>
      </c>
      <c r="D180" t="s">
        <v>20</v>
      </c>
      <c r="E180" t="s">
        <v>32</v>
      </c>
      <c r="F180" t="s">
        <v>14</v>
      </c>
      <c r="G180" t="s">
        <v>32</v>
      </c>
      <c r="H180" t="s">
        <v>28</v>
      </c>
      <c r="I180" t="s">
        <v>14</v>
      </c>
      <c r="J180" t="s">
        <v>64</v>
      </c>
      <c r="K180" t="s">
        <v>24</v>
      </c>
      <c r="L180">
        <v>9</v>
      </c>
    </row>
    <row r="181" spans="1:12">
      <c r="A181">
        <v>180</v>
      </c>
      <c r="B181">
        <v>2025</v>
      </c>
      <c r="C181" t="s">
        <v>230</v>
      </c>
      <c r="D181" t="s">
        <v>26</v>
      </c>
      <c r="E181" t="s">
        <v>15</v>
      </c>
      <c r="F181" t="s">
        <v>21</v>
      </c>
      <c r="G181" t="s">
        <v>15</v>
      </c>
      <c r="H181" t="s">
        <v>16</v>
      </c>
      <c r="I181" t="s">
        <v>21</v>
      </c>
      <c r="J181" t="s">
        <v>57</v>
      </c>
      <c r="K181" t="s">
        <v>24</v>
      </c>
      <c r="L181">
        <v>9</v>
      </c>
    </row>
    <row r="182" spans="1:12">
      <c r="A182">
        <v>181</v>
      </c>
      <c r="B182">
        <v>2022</v>
      </c>
      <c r="C182" t="s">
        <v>231</v>
      </c>
      <c r="D182" t="s">
        <v>26</v>
      </c>
      <c r="E182" t="s">
        <v>22</v>
      </c>
      <c r="F182" t="s">
        <v>36</v>
      </c>
      <c r="G182" t="s">
        <v>36</v>
      </c>
      <c r="H182" t="s">
        <v>16</v>
      </c>
      <c r="I182" t="s">
        <v>22</v>
      </c>
      <c r="J182" t="s">
        <v>33</v>
      </c>
      <c r="K182" t="s">
        <v>18</v>
      </c>
      <c r="L182">
        <v>92</v>
      </c>
    </row>
    <row r="183" spans="1:12">
      <c r="A183">
        <v>182</v>
      </c>
      <c r="B183">
        <v>2024</v>
      </c>
      <c r="C183" t="s">
        <v>232</v>
      </c>
      <c r="D183" t="s">
        <v>13</v>
      </c>
      <c r="E183" t="s">
        <v>36</v>
      </c>
      <c r="F183" t="s">
        <v>47</v>
      </c>
      <c r="G183" t="s">
        <v>36</v>
      </c>
      <c r="H183" t="s">
        <v>16</v>
      </c>
      <c r="I183" t="s">
        <v>47</v>
      </c>
      <c r="J183" t="s">
        <v>90</v>
      </c>
      <c r="K183" t="s">
        <v>24</v>
      </c>
      <c r="L183">
        <v>3</v>
      </c>
    </row>
    <row r="184" spans="1:12">
      <c r="A184">
        <v>183</v>
      </c>
      <c r="B184">
        <v>2023</v>
      </c>
      <c r="C184" t="s">
        <v>233</v>
      </c>
      <c r="D184" t="s">
        <v>31</v>
      </c>
      <c r="E184" t="s">
        <v>50</v>
      </c>
      <c r="F184" t="s">
        <v>56</v>
      </c>
      <c r="G184" t="s">
        <v>56</v>
      </c>
      <c r="H184" t="s">
        <v>28</v>
      </c>
      <c r="I184" t="s">
        <v>56</v>
      </c>
      <c r="J184" t="s">
        <v>87</v>
      </c>
      <c r="K184" t="s">
        <v>24</v>
      </c>
      <c r="L184">
        <v>6</v>
      </c>
    </row>
    <row r="185" spans="1:12">
      <c r="A185">
        <v>184</v>
      </c>
      <c r="B185">
        <v>2025</v>
      </c>
      <c r="C185" t="s">
        <v>234</v>
      </c>
      <c r="D185" t="s">
        <v>46</v>
      </c>
      <c r="E185" t="s">
        <v>15</v>
      </c>
      <c r="F185" t="s">
        <v>14</v>
      </c>
      <c r="G185" t="s">
        <v>14</v>
      </c>
      <c r="H185" t="s">
        <v>28</v>
      </c>
      <c r="I185" t="s">
        <v>15</v>
      </c>
      <c r="J185" t="s">
        <v>33</v>
      </c>
      <c r="K185" t="s">
        <v>24</v>
      </c>
      <c r="L185">
        <v>3</v>
      </c>
    </row>
    <row r="186" spans="1:12">
      <c r="A186">
        <v>185</v>
      </c>
      <c r="B186">
        <v>2025</v>
      </c>
      <c r="C186" t="s">
        <v>235</v>
      </c>
      <c r="D186" t="s">
        <v>26</v>
      </c>
      <c r="E186" t="s">
        <v>32</v>
      </c>
      <c r="F186" t="s">
        <v>27</v>
      </c>
      <c r="G186" t="s">
        <v>32</v>
      </c>
      <c r="H186" t="s">
        <v>16</v>
      </c>
      <c r="I186" t="s">
        <v>32</v>
      </c>
      <c r="J186" t="s">
        <v>66</v>
      </c>
      <c r="K186" t="s">
        <v>18</v>
      </c>
      <c r="L186">
        <v>57</v>
      </c>
    </row>
    <row r="187" spans="1:12">
      <c r="A187">
        <v>186</v>
      </c>
      <c r="B187">
        <v>2022</v>
      </c>
      <c r="C187" t="s">
        <v>236</v>
      </c>
      <c r="D187" t="s">
        <v>26</v>
      </c>
      <c r="E187" t="s">
        <v>32</v>
      </c>
      <c r="F187" t="s">
        <v>22</v>
      </c>
      <c r="G187" t="s">
        <v>22</v>
      </c>
      <c r="H187" t="s">
        <v>28</v>
      </c>
      <c r="I187" t="s">
        <v>32</v>
      </c>
      <c r="J187" t="s">
        <v>29</v>
      </c>
      <c r="K187" t="s">
        <v>18</v>
      </c>
      <c r="L187">
        <v>72</v>
      </c>
    </row>
    <row r="188" spans="1:12">
      <c r="A188">
        <v>187</v>
      </c>
      <c r="B188">
        <v>2024</v>
      </c>
      <c r="C188" t="s">
        <v>237</v>
      </c>
      <c r="D188" t="s">
        <v>26</v>
      </c>
      <c r="E188" t="s">
        <v>36</v>
      </c>
      <c r="F188" t="s">
        <v>32</v>
      </c>
      <c r="G188" t="s">
        <v>32</v>
      </c>
      <c r="H188" t="s">
        <v>16</v>
      </c>
      <c r="I188" t="s">
        <v>32</v>
      </c>
      <c r="J188" t="s">
        <v>23</v>
      </c>
      <c r="K188" t="s">
        <v>24</v>
      </c>
      <c r="L188">
        <v>9</v>
      </c>
    </row>
    <row r="189" spans="1:12">
      <c r="A189">
        <v>188</v>
      </c>
      <c r="B189">
        <v>2023</v>
      </c>
      <c r="C189" t="s">
        <v>238</v>
      </c>
      <c r="D189" t="s">
        <v>35</v>
      </c>
      <c r="E189" t="s">
        <v>50</v>
      </c>
      <c r="F189" t="s">
        <v>47</v>
      </c>
      <c r="G189" t="s">
        <v>50</v>
      </c>
      <c r="H189" t="s">
        <v>16</v>
      </c>
      <c r="I189" t="s">
        <v>47</v>
      </c>
      <c r="J189" t="s">
        <v>23</v>
      </c>
      <c r="K189" t="s">
        <v>24</v>
      </c>
      <c r="L189">
        <v>4</v>
      </c>
    </row>
    <row r="190" spans="1:12">
      <c r="A190">
        <v>189</v>
      </c>
      <c r="B190">
        <v>2023</v>
      </c>
      <c r="C190" t="s">
        <v>239</v>
      </c>
      <c r="D190" t="s">
        <v>31</v>
      </c>
      <c r="E190" t="s">
        <v>22</v>
      </c>
      <c r="F190" t="s">
        <v>47</v>
      </c>
      <c r="G190" t="s">
        <v>47</v>
      </c>
      <c r="H190" t="s">
        <v>28</v>
      </c>
      <c r="I190" t="s">
        <v>47</v>
      </c>
      <c r="J190" t="s">
        <v>23</v>
      </c>
      <c r="K190" t="s">
        <v>24</v>
      </c>
      <c r="L190">
        <v>5</v>
      </c>
    </row>
    <row r="191" spans="1:12">
      <c r="A191">
        <v>190</v>
      </c>
      <c r="B191">
        <v>2025</v>
      </c>
      <c r="C191" t="s">
        <v>175</v>
      </c>
      <c r="D191" t="s">
        <v>26</v>
      </c>
      <c r="E191" t="s">
        <v>32</v>
      </c>
      <c r="F191" t="s">
        <v>50</v>
      </c>
      <c r="G191" t="s">
        <v>50</v>
      </c>
      <c r="H191" t="s">
        <v>16</v>
      </c>
      <c r="I191" t="s">
        <v>50</v>
      </c>
      <c r="J191" t="s">
        <v>33</v>
      </c>
      <c r="K191" t="s">
        <v>24</v>
      </c>
      <c r="L191">
        <v>2</v>
      </c>
    </row>
    <row r="192" spans="1:12">
      <c r="A192">
        <v>191</v>
      </c>
      <c r="B192">
        <v>2023</v>
      </c>
      <c r="C192" t="s">
        <v>240</v>
      </c>
      <c r="D192" t="s">
        <v>43</v>
      </c>
      <c r="E192" t="s">
        <v>47</v>
      </c>
      <c r="F192" t="s">
        <v>22</v>
      </c>
      <c r="G192" t="s">
        <v>47</v>
      </c>
      <c r="H192" t="s">
        <v>28</v>
      </c>
      <c r="I192" t="s">
        <v>22</v>
      </c>
      <c r="J192" t="s">
        <v>29</v>
      </c>
      <c r="K192" t="s">
        <v>18</v>
      </c>
      <c r="L192">
        <v>79</v>
      </c>
    </row>
    <row r="193" spans="1:12">
      <c r="A193">
        <v>192</v>
      </c>
      <c r="B193">
        <v>2022</v>
      </c>
      <c r="C193" t="s">
        <v>241</v>
      </c>
      <c r="D193" t="s">
        <v>20</v>
      </c>
      <c r="E193" t="s">
        <v>14</v>
      </c>
      <c r="F193" t="s">
        <v>36</v>
      </c>
      <c r="G193" t="s">
        <v>14</v>
      </c>
      <c r="H193" t="s">
        <v>16</v>
      </c>
      <c r="I193" t="s">
        <v>14</v>
      </c>
      <c r="J193" t="s">
        <v>17</v>
      </c>
      <c r="K193" t="s">
        <v>24</v>
      </c>
      <c r="L193">
        <v>6</v>
      </c>
    </row>
    <row r="194" spans="1:12">
      <c r="A194">
        <v>193</v>
      </c>
      <c r="B194">
        <v>2022</v>
      </c>
      <c r="C194" t="s">
        <v>242</v>
      </c>
      <c r="D194" t="s">
        <v>35</v>
      </c>
      <c r="E194" t="s">
        <v>14</v>
      </c>
      <c r="F194" t="s">
        <v>36</v>
      </c>
      <c r="G194" t="s">
        <v>14</v>
      </c>
      <c r="H194" t="s">
        <v>28</v>
      </c>
      <c r="I194" t="s">
        <v>36</v>
      </c>
      <c r="J194" t="s">
        <v>116</v>
      </c>
      <c r="K194" t="s">
        <v>18</v>
      </c>
      <c r="L194">
        <v>97</v>
      </c>
    </row>
    <row r="195" spans="1:12">
      <c r="A195">
        <v>194</v>
      </c>
      <c r="B195">
        <v>2023</v>
      </c>
      <c r="C195" t="s">
        <v>243</v>
      </c>
      <c r="D195" t="s">
        <v>49</v>
      </c>
      <c r="E195" t="s">
        <v>14</v>
      </c>
      <c r="F195" t="s">
        <v>21</v>
      </c>
      <c r="G195" t="s">
        <v>14</v>
      </c>
      <c r="H195" t="s">
        <v>16</v>
      </c>
      <c r="I195" t="s">
        <v>14</v>
      </c>
      <c r="J195" t="s">
        <v>74</v>
      </c>
      <c r="K195" t="s">
        <v>18</v>
      </c>
      <c r="L195">
        <v>120</v>
      </c>
    </row>
    <row r="196" spans="1:12">
      <c r="A196">
        <v>195</v>
      </c>
      <c r="B196">
        <v>2024</v>
      </c>
      <c r="C196" t="s">
        <v>244</v>
      </c>
      <c r="D196" t="s">
        <v>26</v>
      </c>
      <c r="E196" t="s">
        <v>47</v>
      </c>
      <c r="F196" t="s">
        <v>27</v>
      </c>
      <c r="G196" t="s">
        <v>27</v>
      </c>
      <c r="H196" t="s">
        <v>16</v>
      </c>
      <c r="I196" t="s">
        <v>47</v>
      </c>
      <c r="J196" t="s">
        <v>53</v>
      </c>
      <c r="K196" t="s">
        <v>18</v>
      </c>
      <c r="L196">
        <v>119</v>
      </c>
    </row>
    <row r="197" spans="1:12">
      <c r="A197">
        <v>196</v>
      </c>
      <c r="B197">
        <v>2024</v>
      </c>
      <c r="C197" t="s">
        <v>117</v>
      </c>
      <c r="D197" t="s">
        <v>31</v>
      </c>
      <c r="E197" t="s">
        <v>36</v>
      </c>
      <c r="F197" t="s">
        <v>50</v>
      </c>
      <c r="G197" t="s">
        <v>50</v>
      </c>
      <c r="H197" t="s">
        <v>16</v>
      </c>
      <c r="I197" t="s">
        <v>50</v>
      </c>
      <c r="J197" t="s">
        <v>44</v>
      </c>
      <c r="K197" t="s">
        <v>18</v>
      </c>
      <c r="L197">
        <v>104</v>
      </c>
    </row>
    <row r="198" spans="1:12">
      <c r="A198">
        <v>197</v>
      </c>
      <c r="B198">
        <v>2022</v>
      </c>
      <c r="C198" t="s">
        <v>245</v>
      </c>
      <c r="D198" t="s">
        <v>43</v>
      </c>
      <c r="E198" t="s">
        <v>47</v>
      </c>
      <c r="F198" t="s">
        <v>15</v>
      </c>
      <c r="G198" t="s">
        <v>47</v>
      </c>
      <c r="H198" t="s">
        <v>16</v>
      </c>
      <c r="I198" t="s">
        <v>15</v>
      </c>
      <c r="J198" t="s">
        <v>53</v>
      </c>
      <c r="K198" t="s">
        <v>18</v>
      </c>
      <c r="L198">
        <v>23</v>
      </c>
    </row>
    <row r="199" spans="1:12">
      <c r="A199">
        <v>198</v>
      </c>
      <c r="B199">
        <v>2024</v>
      </c>
      <c r="C199" t="s">
        <v>246</v>
      </c>
      <c r="D199" t="s">
        <v>20</v>
      </c>
      <c r="E199" t="s">
        <v>32</v>
      </c>
      <c r="F199" t="s">
        <v>36</v>
      </c>
      <c r="G199" t="s">
        <v>36</v>
      </c>
      <c r="H199" t="s">
        <v>16</v>
      </c>
      <c r="I199" t="s">
        <v>36</v>
      </c>
      <c r="J199" t="s">
        <v>17</v>
      </c>
      <c r="K199" t="s">
        <v>18</v>
      </c>
      <c r="L199">
        <v>18</v>
      </c>
    </row>
    <row r="200" spans="1:12">
      <c r="A200">
        <v>199</v>
      </c>
      <c r="B200">
        <v>2022</v>
      </c>
      <c r="C200" t="s">
        <v>247</v>
      </c>
      <c r="D200" t="s">
        <v>43</v>
      </c>
      <c r="E200" t="s">
        <v>14</v>
      </c>
      <c r="F200" t="s">
        <v>15</v>
      </c>
      <c r="G200" t="s">
        <v>15</v>
      </c>
      <c r="H200" t="s">
        <v>16</v>
      </c>
      <c r="I200" t="s">
        <v>15</v>
      </c>
      <c r="J200" t="s">
        <v>44</v>
      </c>
      <c r="K200" t="s">
        <v>24</v>
      </c>
      <c r="L200">
        <v>5</v>
      </c>
    </row>
    <row r="201" spans="1:12">
      <c r="A201">
        <v>200</v>
      </c>
      <c r="B201">
        <v>2025</v>
      </c>
      <c r="C201" t="s">
        <v>248</v>
      </c>
      <c r="D201" t="s">
        <v>59</v>
      </c>
      <c r="E201" t="s">
        <v>14</v>
      </c>
      <c r="F201" t="s">
        <v>15</v>
      </c>
      <c r="G201" t="s">
        <v>15</v>
      </c>
      <c r="H201" t="s">
        <v>16</v>
      </c>
      <c r="I201" t="s">
        <v>14</v>
      </c>
      <c r="J201" t="s">
        <v>17</v>
      </c>
      <c r="K201" t="s">
        <v>24</v>
      </c>
      <c r="L201">
        <v>5</v>
      </c>
    </row>
    <row r="202" spans="1:12">
      <c r="A202">
        <v>201</v>
      </c>
      <c r="B202">
        <v>2025</v>
      </c>
      <c r="C202" t="s">
        <v>249</v>
      </c>
      <c r="D202" t="s">
        <v>59</v>
      </c>
      <c r="E202" t="s">
        <v>15</v>
      </c>
      <c r="F202" t="s">
        <v>21</v>
      </c>
      <c r="G202" t="s">
        <v>21</v>
      </c>
      <c r="H202" t="s">
        <v>28</v>
      </c>
      <c r="I202" t="s">
        <v>15</v>
      </c>
      <c r="J202" t="s">
        <v>95</v>
      </c>
      <c r="K202" t="s">
        <v>18</v>
      </c>
      <c r="L202">
        <v>62</v>
      </c>
    </row>
    <row r="203" spans="1:12">
      <c r="A203">
        <v>202</v>
      </c>
      <c r="B203">
        <v>2025</v>
      </c>
      <c r="C203" t="s">
        <v>250</v>
      </c>
      <c r="D203" t="s">
        <v>20</v>
      </c>
      <c r="E203" t="s">
        <v>56</v>
      </c>
      <c r="F203" t="s">
        <v>32</v>
      </c>
      <c r="G203" t="s">
        <v>32</v>
      </c>
      <c r="H203" t="s">
        <v>16</v>
      </c>
      <c r="I203" t="s">
        <v>56</v>
      </c>
      <c r="J203" t="s">
        <v>90</v>
      </c>
      <c r="K203" t="s">
        <v>18</v>
      </c>
      <c r="L203">
        <v>68</v>
      </c>
    </row>
    <row r="204" spans="1:12">
      <c r="A204">
        <v>203</v>
      </c>
      <c r="B204">
        <v>2023</v>
      </c>
      <c r="C204" t="s">
        <v>251</v>
      </c>
      <c r="D204" t="s">
        <v>20</v>
      </c>
      <c r="E204" t="s">
        <v>21</v>
      </c>
      <c r="F204" t="s">
        <v>50</v>
      </c>
      <c r="G204" t="s">
        <v>21</v>
      </c>
      <c r="H204" t="s">
        <v>16</v>
      </c>
      <c r="I204" t="s">
        <v>21</v>
      </c>
      <c r="J204" t="s">
        <v>39</v>
      </c>
      <c r="K204" t="s">
        <v>24</v>
      </c>
      <c r="L204">
        <v>9</v>
      </c>
    </row>
    <row r="205" spans="1:12">
      <c r="A205">
        <v>204</v>
      </c>
      <c r="B205">
        <v>2022</v>
      </c>
      <c r="C205" t="s">
        <v>252</v>
      </c>
      <c r="D205" t="s">
        <v>13</v>
      </c>
      <c r="E205" t="s">
        <v>50</v>
      </c>
      <c r="F205" t="s">
        <v>47</v>
      </c>
      <c r="G205" t="s">
        <v>50</v>
      </c>
      <c r="H205" t="s">
        <v>28</v>
      </c>
      <c r="I205" t="s">
        <v>50</v>
      </c>
      <c r="J205" t="s">
        <v>76</v>
      </c>
      <c r="K205" t="s">
        <v>18</v>
      </c>
      <c r="L205">
        <v>66</v>
      </c>
    </row>
    <row r="206" spans="1:12">
      <c r="A206">
        <v>205</v>
      </c>
      <c r="B206">
        <v>2025</v>
      </c>
      <c r="C206" t="s">
        <v>253</v>
      </c>
      <c r="D206" t="s">
        <v>38</v>
      </c>
      <c r="E206" t="s">
        <v>14</v>
      </c>
      <c r="F206" t="s">
        <v>36</v>
      </c>
      <c r="G206" t="s">
        <v>36</v>
      </c>
      <c r="H206" t="s">
        <v>28</v>
      </c>
      <c r="I206" t="s">
        <v>14</v>
      </c>
      <c r="J206" t="s">
        <v>41</v>
      </c>
      <c r="K206" t="s">
        <v>24</v>
      </c>
      <c r="L206">
        <v>1</v>
      </c>
    </row>
    <row r="207" spans="1:12">
      <c r="A207">
        <v>206</v>
      </c>
      <c r="B207">
        <v>2021</v>
      </c>
      <c r="C207" t="s">
        <v>254</v>
      </c>
      <c r="D207" t="s">
        <v>35</v>
      </c>
      <c r="E207" t="s">
        <v>14</v>
      </c>
      <c r="F207" t="s">
        <v>32</v>
      </c>
      <c r="G207" t="s">
        <v>32</v>
      </c>
      <c r="H207" t="s">
        <v>16</v>
      </c>
      <c r="I207" t="s">
        <v>14</v>
      </c>
      <c r="J207" t="s">
        <v>64</v>
      </c>
      <c r="K207" t="s">
        <v>24</v>
      </c>
      <c r="L207">
        <v>1</v>
      </c>
    </row>
    <row r="208" spans="1:12">
      <c r="A208">
        <v>207</v>
      </c>
      <c r="B208">
        <v>2022</v>
      </c>
      <c r="C208" t="s">
        <v>255</v>
      </c>
      <c r="D208" t="s">
        <v>46</v>
      </c>
      <c r="E208" t="s">
        <v>27</v>
      </c>
      <c r="F208" t="s">
        <v>32</v>
      </c>
      <c r="G208" t="s">
        <v>32</v>
      </c>
      <c r="H208" t="s">
        <v>28</v>
      </c>
      <c r="I208" t="s">
        <v>32</v>
      </c>
      <c r="J208" t="s">
        <v>41</v>
      </c>
      <c r="K208" t="s">
        <v>24</v>
      </c>
      <c r="L208">
        <v>2</v>
      </c>
    </row>
    <row r="209" spans="1:12">
      <c r="A209">
        <v>208</v>
      </c>
      <c r="B209">
        <v>2023</v>
      </c>
      <c r="C209" t="s">
        <v>256</v>
      </c>
      <c r="D209" t="s">
        <v>20</v>
      </c>
      <c r="E209" t="s">
        <v>21</v>
      </c>
      <c r="F209" t="s">
        <v>27</v>
      </c>
      <c r="G209" t="s">
        <v>27</v>
      </c>
      <c r="H209" t="s">
        <v>16</v>
      </c>
      <c r="I209" t="s">
        <v>21</v>
      </c>
      <c r="J209" t="s">
        <v>87</v>
      </c>
      <c r="K209" t="s">
        <v>18</v>
      </c>
      <c r="L209">
        <v>39</v>
      </c>
    </row>
    <row r="210" spans="1:12">
      <c r="A210">
        <v>209</v>
      </c>
      <c r="B210">
        <v>2025</v>
      </c>
      <c r="C210" t="s">
        <v>257</v>
      </c>
      <c r="D210" t="s">
        <v>35</v>
      </c>
      <c r="E210" t="s">
        <v>32</v>
      </c>
      <c r="F210" t="s">
        <v>36</v>
      </c>
      <c r="G210" t="s">
        <v>36</v>
      </c>
      <c r="H210" t="s">
        <v>16</v>
      </c>
      <c r="I210" t="s">
        <v>32</v>
      </c>
      <c r="J210" t="s">
        <v>76</v>
      </c>
      <c r="K210" t="s">
        <v>24</v>
      </c>
      <c r="L210">
        <v>3</v>
      </c>
    </row>
    <row r="211" spans="1:12">
      <c r="A211">
        <v>210</v>
      </c>
      <c r="B211">
        <v>2021</v>
      </c>
      <c r="C211" t="s">
        <v>258</v>
      </c>
      <c r="D211" t="s">
        <v>49</v>
      </c>
      <c r="E211" t="s">
        <v>14</v>
      </c>
      <c r="F211" t="s">
        <v>32</v>
      </c>
      <c r="G211" t="s">
        <v>14</v>
      </c>
      <c r="H211" t="s">
        <v>16</v>
      </c>
      <c r="I211" t="s">
        <v>14</v>
      </c>
      <c r="J211" t="s">
        <v>64</v>
      </c>
      <c r="K211" t="s">
        <v>18</v>
      </c>
      <c r="L211">
        <v>77</v>
      </c>
    </row>
    <row r="212" spans="1:12">
      <c r="A212">
        <v>211</v>
      </c>
      <c r="B212">
        <v>2025</v>
      </c>
      <c r="C212" t="s">
        <v>259</v>
      </c>
      <c r="D212" t="s">
        <v>49</v>
      </c>
      <c r="E212" t="s">
        <v>14</v>
      </c>
      <c r="F212" t="s">
        <v>22</v>
      </c>
      <c r="G212" t="s">
        <v>14</v>
      </c>
      <c r="H212" t="s">
        <v>28</v>
      </c>
      <c r="I212" t="s">
        <v>22</v>
      </c>
      <c r="J212" t="s">
        <v>95</v>
      </c>
      <c r="K212" t="s">
        <v>18</v>
      </c>
      <c r="L212">
        <v>97</v>
      </c>
    </row>
    <row r="213" spans="1:12">
      <c r="A213">
        <v>212</v>
      </c>
      <c r="B213">
        <v>2025</v>
      </c>
      <c r="C213" t="s">
        <v>260</v>
      </c>
      <c r="D213" t="s">
        <v>46</v>
      </c>
      <c r="E213" t="s">
        <v>15</v>
      </c>
      <c r="F213" t="s">
        <v>22</v>
      </c>
      <c r="G213" t="s">
        <v>22</v>
      </c>
      <c r="H213" t="s">
        <v>28</v>
      </c>
      <c r="I213" t="s">
        <v>15</v>
      </c>
      <c r="J213" t="s">
        <v>53</v>
      </c>
      <c r="K213" t="s">
        <v>18</v>
      </c>
      <c r="L213">
        <v>85</v>
      </c>
    </row>
    <row r="214" spans="1:12">
      <c r="A214">
        <v>213</v>
      </c>
      <c r="B214">
        <v>2024</v>
      </c>
      <c r="C214" t="s">
        <v>261</v>
      </c>
      <c r="D214" t="s">
        <v>26</v>
      </c>
      <c r="E214" t="s">
        <v>15</v>
      </c>
      <c r="F214" t="s">
        <v>50</v>
      </c>
      <c r="G214" t="s">
        <v>15</v>
      </c>
      <c r="H214" t="s">
        <v>16</v>
      </c>
      <c r="I214" t="s">
        <v>50</v>
      </c>
      <c r="J214" t="s">
        <v>23</v>
      </c>
      <c r="K214" t="s">
        <v>24</v>
      </c>
      <c r="L214">
        <v>1</v>
      </c>
    </row>
    <row r="215" spans="1:12">
      <c r="A215">
        <v>214</v>
      </c>
      <c r="B215">
        <v>2024</v>
      </c>
      <c r="C215" t="s">
        <v>107</v>
      </c>
      <c r="D215" t="s">
        <v>46</v>
      </c>
      <c r="E215" t="s">
        <v>36</v>
      </c>
      <c r="F215" t="s">
        <v>56</v>
      </c>
      <c r="G215" t="s">
        <v>56</v>
      </c>
      <c r="H215" t="s">
        <v>28</v>
      </c>
      <c r="I215" t="s">
        <v>36</v>
      </c>
      <c r="J215" t="s">
        <v>53</v>
      </c>
      <c r="K215" t="s">
        <v>24</v>
      </c>
      <c r="L215">
        <v>3</v>
      </c>
    </row>
    <row r="216" spans="1:12">
      <c r="A216">
        <v>215</v>
      </c>
      <c r="B216">
        <v>2022</v>
      </c>
      <c r="C216" t="s">
        <v>262</v>
      </c>
      <c r="D216" t="s">
        <v>46</v>
      </c>
      <c r="E216" t="s">
        <v>22</v>
      </c>
      <c r="F216" t="s">
        <v>15</v>
      </c>
      <c r="G216" t="s">
        <v>22</v>
      </c>
      <c r="H216" t="s">
        <v>28</v>
      </c>
      <c r="I216" t="s">
        <v>22</v>
      </c>
      <c r="J216" t="s">
        <v>23</v>
      </c>
      <c r="K216" t="s">
        <v>24</v>
      </c>
      <c r="L216">
        <v>7</v>
      </c>
    </row>
    <row r="217" spans="1:12">
      <c r="A217">
        <v>216</v>
      </c>
      <c r="B217">
        <v>2022</v>
      </c>
      <c r="C217" t="s">
        <v>263</v>
      </c>
      <c r="D217" t="s">
        <v>31</v>
      </c>
      <c r="E217" t="s">
        <v>32</v>
      </c>
      <c r="F217" t="s">
        <v>22</v>
      </c>
      <c r="G217" t="s">
        <v>22</v>
      </c>
      <c r="H217" t="s">
        <v>16</v>
      </c>
      <c r="I217" t="s">
        <v>22</v>
      </c>
      <c r="J217" t="s">
        <v>64</v>
      </c>
      <c r="K217" t="s">
        <v>24</v>
      </c>
      <c r="L217">
        <v>6</v>
      </c>
    </row>
    <row r="218" spans="1:12">
      <c r="A218">
        <v>217</v>
      </c>
      <c r="B218">
        <v>2022</v>
      </c>
      <c r="C218" t="s">
        <v>264</v>
      </c>
      <c r="D218" t="s">
        <v>38</v>
      </c>
      <c r="E218" t="s">
        <v>14</v>
      </c>
      <c r="F218" t="s">
        <v>15</v>
      </c>
      <c r="G218" t="s">
        <v>15</v>
      </c>
      <c r="H218" t="s">
        <v>16</v>
      </c>
      <c r="I218" t="s">
        <v>14</v>
      </c>
      <c r="J218" t="s">
        <v>66</v>
      </c>
      <c r="K218" t="s">
        <v>18</v>
      </c>
      <c r="L218">
        <v>62</v>
      </c>
    </row>
    <row r="219" spans="1:12">
      <c r="A219">
        <v>218</v>
      </c>
      <c r="B219">
        <v>2023</v>
      </c>
      <c r="C219" t="s">
        <v>265</v>
      </c>
      <c r="D219" t="s">
        <v>43</v>
      </c>
      <c r="E219" t="s">
        <v>15</v>
      </c>
      <c r="F219" t="s">
        <v>14</v>
      </c>
      <c r="G219" t="s">
        <v>15</v>
      </c>
      <c r="H219" t="s">
        <v>16</v>
      </c>
      <c r="I219" t="s">
        <v>15</v>
      </c>
      <c r="J219" t="s">
        <v>116</v>
      </c>
      <c r="K219" t="s">
        <v>18</v>
      </c>
      <c r="L219">
        <v>90</v>
      </c>
    </row>
    <row r="220" spans="1:12">
      <c r="A220">
        <v>219</v>
      </c>
      <c r="B220">
        <v>2022</v>
      </c>
      <c r="C220" t="s">
        <v>266</v>
      </c>
      <c r="D220" t="s">
        <v>35</v>
      </c>
      <c r="E220" t="s">
        <v>32</v>
      </c>
      <c r="F220" t="s">
        <v>22</v>
      </c>
      <c r="G220" t="s">
        <v>22</v>
      </c>
      <c r="H220" t="s">
        <v>28</v>
      </c>
      <c r="I220" t="s">
        <v>22</v>
      </c>
      <c r="J220" t="s">
        <v>76</v>
      </c>
      <c r="K220" t="s">
        <v>24</v>
      </c>
      <c r="L220">
        <v>5</v>
      </c>
    </row>
    <row r="221" spans="1:12">
      <c r="A221">
        <v>220</v>
      </c>
      <c r="B221">
        <v>2025</v>
      </c>
      <c r="C221" t="s">
        <v>267</v>
      </c>
      <c r="D221" t="s">
        <v>13</v>
      </c>
      <c r="E221" t="s">
        <v>47</v>
      </c>
      <c r="F221" t="s">
        <v>50</v>
      </c>
      <c r="G221" t="s">
        <v>47</v>
      </c>
      <c r="H221" t="s">
        <v>28</v>
      </c>
      <c r="I221" t="s">
        <v>50</v>
      </c>
      <c r="J221" t="s">
        <v>66</v>
      </c>
      <c r="K221" t="s">
        <v>24</v>
      </c>
      <c r="L221">
        <v>6</v>
      </c>
    </row>
    <row r="222" spans="1:12">
      <c r="A222">
        <v>221</v>
      </c>
      <c r="B222">
        <v>2025</v>
      </c>
      <c r="C222" t="s">
        <v>268</v>
      </c>
      <c r="D222" t="s">
        <v>26</v>
      </c>
      <c r="E222" t="s">
        <v>22</v>
      </c>
      <c r="F222" t="s">
        <v>27</v>
      </c>
      <c r="G222" t="s">
        <v>22</v>
      </c>
      <c r="H222" t="s">
        <v>28</v>
      </c>
      <c r="I222" t="s">
        <v>27</v>
      </c>
      <c r="J222" t="s">
        <v>53</v>
      </c>
      <c r="K222" t="s">
        <v>18</v>
      </c>
      <c r="L222">
        <v>26</v>
      </c>
    </row>
    <row r="223" spans="1:12">
      <c r="A223">
        <v>222</v>
      </c>
      <c r="B223">
        <v>2024</v>
      </c>
      <c r="C223" t="s">
        <v>269</v>
      </c>
      <c r="D223" t="s">
        <v>59</v>
      </c>
      <c r="E223" t="s">
        <v>50</v>
      </c>
      <c r="F223" t="s">
        <v>22</v>
      </c>
      <c r="G223" t="s">
        <v>22</v>
      </c>
      <c r="H223" t="s">
        <v>28</v>
      </c>
      <c r="I223" t="s">
        <v>22</v>
      </c>
      <c r="J223" t="s">
        <v>116</v>
      </c>
      <c r="K223" t="s">
        <v>24</v>
      </c>
      <c r="L223">
        <v>8</v>
      </c>
    </row>
    <row r="224" spans="1:12">
      <c r="A224">
        <v>223</v>
      </c>
      <c r="B224">
        <v>2023</v>
      </c>
      <c r="C224" t="s">
        <v>270</v>
      </c>
      <c r="D224" t="s">
        <v>31</v>
      </c>
      <c r="E224" t="s">
        <v>27</v>
      </c>
      <c r="F224" t="s">
        <v>50</v>
      </c>
      <c r="G224" t="s">
        <v>50</v>
      </c>
      <c r="H224" t="s">
        <v>16</v>
      </c>
      <c r="I224" t="s">
        <v>27</v>
      </c>
      <c r="J224" t="s">
        <v>152</v>
      </c>
      <c r="K224" t="s">
        <v>18</v>
      </c>
      <c r="L224">
        <v>108</v>
      </c>
    </row>
    <row r="225" spans="1:12">
      <c r="A225">
        <v>224</v>
      </c>
      <c r="B225">
        <v>2021</v>
      </c>
      <c r="C225" t="s">
        <v>271</v>
      </c>
      <c r="D225" t="s">
        <v>46</v>
      </c>
      <c r="E225" t="s">
        <v>14</v>
      </c>
      <c r="F225" t="s">
        <v>32</v>
      </c>
      <c r="G225" t="s">
        <v>14</v>
      </c>
      <c r="H225" t="s">
        <v>16</v>
      </c>
      <c r="I225" t="s">
        <v>14</v>
      </c>
      <c r="J225" t="s">
        <v>29</v>
      </c>
      <c r="K225" t="s">
        <v>18</v>
      </c>
      <c r="L225">
        <v>28</v>
      </c>
    </row>
    <row r="226" spans="1:12">
      <c r="A226">
        <v>225</v>
      </c>
      <c r="B226">
        <v>2023</v>
      </c>
      <c r="C226" t="s">
        <v>272</v>
      </c>
      <c r="D226" t="s">
        <v>49</v>
      </c>
      <c r="E226" t="s">
        <v>14</v>
      </c>
      <c r="F226" t="s">
        <v>47</v>
      </c>
      <c r="G226" t="s">
        <v>47</v>
      </c>
      <c r="H226" t="s">
        <v>16</v>
      </c>
      <c r="I226" t="s">
        <v>14</v>
      </c>
      <c r="J226" t="s">
        <v>23</v>
      </c>
      <c r="K226" t="s">
        <v>24</v>
      </c>
      <c r="L226">
        <v>1</v>
      </c>
    </row>
    <row r="227" spans="1:12">
      <c r="A227">
        <v>226</v>
      </c>
      <c r="B227">
        <v>2023</v>
      </c>
      <c r="C227" t="s">
        <v>55</v>
      </c>
      <c r="D227" t="s">
        <v>59</v>
      </c>
      <c r="E227" t="s">
        <v>36</v>
      </c>
      <c r="F227" t="s">
        <v>15</v>
      </c>
      <c r="G227" t="s">
        <v>36</v>
      </c>
      <c r="H227" t="s">
        <v>28</v>
      </c>
      <c r="I227" t="s">
        <v>36</v>
      </c>
      <c r="J227" t="s">
        <v>17</v>
      </c>
      <c r="K227" t="s">
        <v>18</v>
      </c>
      <c r="L227">
        <v>68</v>
      </c>
    </row>
    <row r="228" spans="1:12">
      <c r="A228">
        <v>227</v>
      </c>
      <c r="B228">
        <v>2022</v>
      </c>
      <c r="C228" t="s">
        <v>273</v>
      </c>
      <c r="D228" t="s">
        <v>13</v>
      </c>
      <c r="E228" t="s">
        <v>50</v>
      </c>
      <c r="F228" t="s">
        <v>36</v>
      </c>
      <c r="G228" t="s">
        <v>36</v>
      </c>
      <c r="H228" t="s">
        <v>28</v>
      </c>
      <c r="I228" t="s">
        <v>36</v>
      </c>
      <c r="J228" t="s">
        <v>41</v>
      </c>
      <c r="K228" t="s">
        <v>18</v>
      </c>
      <c r="L228">
        <v>48</v>
      </c>
    </row>
    <row r="229" spans="1:12">
      <c r="A229">
        <v>228</v>
      </c>
      <c r="B229">
        <v>2025</v>
      </c>
      <c r="C229" t="s">
        <v>274</v>
      </c>
      <c r="D229" t="s">
        <v>13</v>
      </c>
      <c r="E229" t="s">
        <v>22</v>
      </c>
      <c r="F229" t="s">
        <v>50</v>
      </c>
      <c r="G229" t="s">
        <v>50</v>
      </c>
      <c r="H229" t="s">
        <v>16</v>
      </c>
      <c r="I229" t="s">
        <v>22</v>
      </c>
      <c r="J229" t="s">
        <v>64</v>
      </c>
      <c r="K229" t="s">
        <v>24</v>
      </c>
      <c r="L229">
        <v>7</v>
      </c>
    </row>
    <row r="230" spans="1:12">
      <c r="A230">
        <v>229</v>
      </c>
      <c r="B230">
        <v>2024</v>
      </c>
      <c r="C230" t="s">
        <v>250</v>
      </c>
      <c r="D230" t="s">
        <v>31</v>
      </c>
      <c r="E230" t="s">
        <v>14</v>
      </c>
      <c r="F230" t="s">
        <v>50</v>
      </c>
      <c r="G230" t="s">
        <v>14</v>
      </c>
      <c r="H230" t="s">
        <v>16</v>
      </c>
      <c r="I230" t="s">
        <v>50</v>
      </c>
      <c r="J230" t="s">
        <v>74</v>
      </c>
      <c r="K230" t="s">
        <v>24</v>
      </c>
      <c r="L230">
        <v>10</v>
      </c>
    </row>
    <row r="231" spans="1:12">
      <c r="A231">
        <v>230</v>
      </c>
      <c r="B231">
        <v>2021</v>
      </c>
      <c r="C231" t="s">
        <v>275</v>
      </c>
      <c r="D231" t="s">
        <v>43</v>
      </c>
      <c r="E231" t="s">
        <v>22</v>
      </c>
      <c r="F231" t="s">
        <v>50</v>
      </c>
      <c r="G231" t="s">
        <v>50</v>
      </c>
      <c r="H231" t="s">
        <v>28</v>
      </c>
      <c r="I231" t="s">
        <v>22</v>
      </c>
      <c r="J231" t="s">
        <v>64</v>
      </c>
      <c r="K231" t="s">
        <v>24</v>
      </c>
      <c r="L231">
        <v>9</v>
      </c>
    </row>
    <row r="232" spans="1:12">
      <c r="A232">
        <v>231</v>
      </c>
      <c r="B232">
        <v>2021</v>
      </c>
      <c r="C232" t="s">
        <v>276</v>
      </c>
      <c r="D232" t="s">
        <v>59</v>
      </c>
      <c r="E232" t="s">
        <v>27</v>
      </c>
      <c r="F232" t="s">
        <v>56</v>
      </c>
      <c r="G232" t="s">
        <v>27</v>
      </c>
      <c r="H232" t="s">
        <v>16</v>
      </c>
      <c r="I232" t="s">
        <v>27</v>
      </c>
      <c r="J232" t="s">
        <v>41</v>
      </c>
      <c r="K232" t="s">
        <v>18</v>
      </c>
      <c r="L232">
        <v>39</v>
      </c>
    </row>
    <row r="233" spans="1:12">
      <c r="A233">
        <v>232</v>
      </c>
      <c r="B233">
        <v>2022</v>
      </c>
      <c r="C233" t="s">
        <v>277</v>
      </c>
      <c r="D233" t="s">
        <v>31</v>
      </c>
      <c r="E233" t="s">
        <v>50</v>
      </c>
      <c r="F233" t="s">
        <v>32</v>
      </c>
      <c r="G233" t="s">
        <v>32</v>
      </c>
      <c r="H233" t="s">
        <v>28</v>
      </c>
      <c r="I233" t="s">
        <v>50</v>
      </c>
      <c r="J233" t="s">
        <v>64</v>
      </c>
      <c r="K233" t="s">
        <v>24</v>
      </c>
      <c r="L233">
        <v>1</v>
      </c>
    </row>
    <row r="234" spans="1:12">
      <c r="A234">
        <v>233</v>
      </c>
      <c r="B234">
        <v>2022</v>
      </c>
      <c r="C234" t="s">
        <v>278</v>
      </c>
      <c r="D234" t="s">
        <v>38</v>
      </c>
      <c r="E234" t="s">
        <v>21</v>
      </c>
      <c r="F234" t="s">
        <v>56</v>
      </c>
      <c r="G234" t="s">
        <v>56</v>
      </c>
      <c r="H234" t="s">
        <v>28</v>
      </c>
      <c r="I234" t="s">
        <v>21</v>
      </c>
      <c r="J234" t="s">
        <v>44</v>
      </c>
      <c r="K234" t="s">
        <v>24</v>
      </c>
      <c r="L234">
        <v>8</v>
      </c>
    </row>
    <row r="235" spans="1:12">
      <c r="A235">
        <v>234</v>
      </c>
      <c r="B235">
        <v>2025</v>
      </c>
      <c r="C235" t="s">
        <v>279</v>
      </c>
      <c r="D235" t="s">
        <v>31</v>
      </c>
      <c r="E235" t="s">
        <v>32</v>
      </c>
      <c r="F235" t="s">
        <v>50</v>
      </c>
      <c r="G235" t="s">
        <v>32</v>
      </c>
      <c r="H235" t="s">
        <v>28</v>
      </c>
      <c r="I235" t="s">
        <v>32</v>
      </c>
      <c r="J235" t="s">
        <v>90</v>
      </c>
      <c r="K235" t="s">
        <v>24</v>
      </c>
      <c r="L235">
        <v>4</v>
      </c>
    </row>
    <row r="236" spans="1:12">
      <c r="A236">
        <v>235</v>
      </c>
      <c r="B236">
        <v>2023</v>
      </c>
      <c r="C236" t="s">
        <v>280</v>
      </c>
      <c r="D236" t="s">
        <v>49</v>
      </c>
      <c r="E236" t="s">
        <v>27</v>
      </c>
      <c r="F236" t="s">
        <v>32</v>
      </c>
      <c r="G236" t="s">
        <v>27</v>
      </c>
      <c r="H236" t="s">
        <v>28</v>
      </c>
      <c r="I236" t="s">
        <v>32</v>
      </c>
      <c r="J236" t="s">
        <v>57</v>
      </c>
      <c r="K236" t="s">
        <v>18</v>
      </c>
      <c r="L236">
        <v>12</v>
      </c>
    </row>
    <row r="237" spans="1:12">
      <c r="A237">
        <v>236</v>
      </c>
      <c r="B237">
        <v>2024</v>
      </c>
      <c r="C237" t="s">
        <v>281</v>
      </c>
      <c r="D237" t="s">
        <v>46</v>
      </c>
      <c r="E237" t="s">
        <v>56</v>
      </c>
      <c r="F237" t="s">
        <v>15</v>
      </c>
      <c r="G237" t="s">
        <v>56</v>
      </c>
      <c r="H237" t="s">
        <v>16</v>
      </c>
      <c r="I237" t="s">
        <v>56</v>
      </c>
      <c r="J237" t="s">
        <v>39</v>
      </c>
      <c r="K237" t="s">
        <v>24</v>
      </c>
      <c r="L237">
        <v>8</v>
      </c>
    </row>
    <row r="238" spans="1:12">
      <c r="A238">
        <v>237</v>
      </c>
      <c r="B238">
        <v>2025</v>
      </c>
      <c r="C238" t="s">
        <v>282</v>
      </c>
      <c r="D238" t="s">
        <v>43</v>
      </c>
      <c r="E238" t="s">
        <v>32</v>
      </c>
      <c r="F238" t="s">
        <v>21</v>
      </c>
      <c r="G238" t="s">
        <v>32</v>
      </c>
      <c r="H238" t="s">
        <v>16</v>
      </c>
      <c r="I238" t="s">
        <v>21</v>
      </c>
      <c r="J238" t="s">
        <v>23</v>
      </c>
      <c r="K238" t="s">
        <v>18</v>
      </c>
      <c r="L238">
        <v>77</v>
      </c>
    </row>
    <row r="239" spans="1:12">
      <c r="A239">
        <v>238</v>
      </c>
      <c r="B239">
        <v>2023</v>
      </c>
      <c r="C239" t="s">
        <v>283</v>
      </c>
      <c r="D239" t="s">
        <v>46</v>
      </c>
      <c r="E239" t="s">
        <v>32</v>
      </c>
      <c r="F239" t="s">
        <v>14</v>
      </c>
      <c r="G239" t="s">
        <v>14</v>
      </c>
      <c r="H239" t="s">
        <v>28</v>
      </c>
      <c r="I239" t="s">
        <v>14</v>
      </c>
      <c r="J239" t="s">
        <v>64</v>
      </c>
      <c r="K239" t="s">
        <v>18</v>
      </c>
      <c r="L239">
        <v>74</v>
      </c>
    </row>
    <row r="240" spans="1:12">
      <c r="A240">
        <v>239</v>
      </c>
      <c r="B240">
        <v>2024</v>
      </c>
      <c r="C240" t="s">
        <v>284</v>
      </c>
      <c r="D240" t="s">
        <v>59</v>
      </c>
      <c r="E240" t="s">
        <v>27</v>
      </c>
      <c r="F240" t="s">
        <v>50</v>
      </c>
      <c r="G240" t="s">
        <v>50</v>
      </c>
      <c r="H240" t="s">
        <v>28</v>
      </c>
      <c r="I240" t="s">
        <v>50</v>
      </c>
      <c r="J240" t="s">
        <v>116</v>
      </c>
      <c r="K240" t="s">
        <v>18</v>
      </c>
      <c r="L240">
        <v>9</v>
      </c>
    </row>
    <row r="241" spans="1:12">
      <c r="A241">
        <v>240</v>
      </c>
      <c r="B241">
        <v>2023</v>
      </c>
      <c r="C241" t="s">
        <v>285</v>
      </c>
      <c r="D241" t="s">
        <v>20</v>
      </c>
      <c r="E241" t="s">
        <v>32</v>
      </c>
      <c r="F241" t="s">
        <v>15</v>
      </c>
      <c r="G241" t="s">
        <v>15</v>
      </c>
      <c r="H241" t="s">
        <v>16</v>
      </c>
      <c r="I241" t="s">
        <v>15</v>
      </c>
      <c r="J241" t="s">
        <v>44</v>
      </c>
      <c r="K241" t="s">
        <v>18</v>
      </c>
      <c r="L241">
        <v>93</v>
      </c>
    </row>
    <row r="242" spans="1:12">
      <c r="A242">
        <v>241</v>
      </c>
      <c r="B242">
        <v>2025</v>
      </c>
      <c r="C242" t="s">
        <v>286</v>
      </c>
      <c r="D242" t="s">
        <v>43</v>
      </c>
      <c r="E242" t="s">
        <v>22</v>
      </c>
      <c r="F242" t="s">
        <v>47</v>
      </c>
      <c r="G242" t="s">
        <v>22</v>
      </c>
      <c r="H242" t="s">
        <v>16</v>
      </c>
      <c r="I242" t="s">
        <v>47</v>
      </c>
      <c r="J242" t="s">
        <v>87</v>
      </c>
      <c r="K242" t="s">
        <v>24</v>
      </c>
      <c r="L242">
        <v>6</v>
      </c>
    </row>
    <row r="243" spans="1:12">
      <c r="A243">
        <v>242</v>
      </c>
      <c r="B243">
        <v>2023</v>
      </c>
      <c r="C243" t="s">
        <v>287</v>
      </c>
      <c r="D243" t="s">
        <v>26</v>
      </c>
      <c r="E243" t="s">
        <v>47</v>
      </c>
      <c r="F243" t="s">
        <v>56</v>
      </c>
      <c r="G243" t="s">
        <v>56</v>
      </c>
      <c r="H243" t="s">
        <v>16</v>
      </c>
      <c r="I243" t="s">
        <v>56</v>
      </c>
      <c r="J243" t="s">
        <v>81</v>
      </c>
      <c r="K243" t="s">
        <v>18</v>
      </c>
      <c r="L243">
        <v>62</v>
      </c>
    </row>
    <row r="244" spans="1:12">
      <c r="A244">
        <v>243</v>
      </c>
      <c r="B244">
        <v>2024</v>
      </c>
      <c r="C244" t="s">
        <v>288</v>
      </c>
      <c r="D244" t="s">
        <v>26</v>
      </c>
      <c r="E244" t="s">
        <v>56</v>
      </c>
      <c r="F244" t="s">
        <v>15</v>
      </c>
      <c r="G244" t="s">
        <v>15</v>
      </c>
      <c r="H244" t="s">
        <v>16</v>
      </c>
      <c r="I244" t="s">
        <v>15</v>
      </c>
      <c r="J244" t="s">
        <v>41</v>
      </c>
      <c r="K244" t="s">
        <v>24</v>
      </c>
      <c r="L244">
        <v>7</v>
      </c>
    </row>
    <row r="245" spans="1:12">
      <c r="A245">
        <v>244</v>
      </c>
      <c r="B245">
        <v>2025</v>
      </c>
      <c r="C245" t="s">
        <v>289</v>
      </c>
      <c r="D245" t="s">
        <v>31</v>
      </c>
      <c r="E245" t="s">
        <v>22</v>
      </c>
      <c r="F245" t="s">
        <v>36</v>
      </c>
      <c r="G245" t="s">
        <v>22</v>
      </c>
      <c r="H245" t="s">
        <v>16</v>
      </c>
      <c r="I245" t="s">
        <v>36</v>
      </c>
      <c r="J245" t="s">
        <v>66</v>
      </c>
      <c r="K245" t="s">
        <v>24</v>
      </c>
      <c r="L245">
        <v>5</v>
      </c>
    </row>
    <row r="246" spans="1:12">
      <c r="A246">
        <v>245</v>
      </c>
      <c r="B246">
        <v>2024</v>
      </c>
      <c r="C246" t="s">
        <v>290</v>
      </c>
      <c r="D246" t="s">
        <v>31</v>
      </c>
      <c r="E246" t="s">
        <v>47</v>
      </c>
      <c r="F246" t="s">
        <v>27</v>
      </c>
      <c r="G246" t="s">
        <v>27</v>
      </c>
      <c r="H246" t="s">
        <v>16</v>
      </c>
      <c r="I246" t="s">
        <v>27</v>
      </c>
      <c r="J246" t="s">
        <v>29</v>
      </c>
      <c r="K246" t="s">
        <v>24</v>
      </c>
      <c r="L246">
        <v>7</v>
      </c>
    </row>
    <row r="247" spans="1:12">
      <c r="A247">
        <v>246</v>
      </c>
      <c r="B247">
        <v>2025</v>
      </c>
      <c r="C247" t="s">
        <v>291</v>
      </c>
      <c r="D247" t="s">
        <v>38</v>
      </c>
      <c r="E247" t="s">
        <v>47</v>
      </c>
      <c r="F247" t="s">
        <v>32</v>
      </c>
      <c r="G247" t="s">
        <v>32</v>
      </c>
      <c r="H247" t="s">
        <v>16</v>
      </c>
      <c r="I247" t="s">
        <v>32</v>
      </c>
      <c r="J247" t="s">
        <v>23</v>
      </c>
      <c r="K247" t="s">
        <v>18</v>
      </c>
      <c r="L247">
        <v>14</v>
      </c>
    </row>
    <row r="248" spans="1:12">
      <c r="A248">
        <v>247</v>
      </c>
      <c r="B248">
        <v>2023</v>
      </c>
      <c r="C248" t="s">
        <v>292</v>
      </c>
      <c r="D248" t="s">
        <v>35</v>
      </c>
      <c r="E248" t="s">
        <v>27</v>
      </c>
      <c r="F248" t="s">
        <v>14</v>
      </c>
      <c r="G248" t="s">
        <v>14</v>
      </c>
      <c r="H248" t="s">
        <v>28</v>
      </c>
      <c r="I248" t="s">
        <v>14</v>
      </c>
      <c r="J248" t="s">
        <v>17</v>
      </c>
      <c r="K248" t="s">
        <v>18</v>
      </c>
      <c r="L248">
        <v>13</v>
      </c>
    </row>
    <row r="249" spans="1:12">
      <c r="A249">
        <v>248</v>
      </c>
      <c r="B249">
        <v>2025</v>
      </c>
      <c r="C249" t="s">
        <v>293</v>
      </c>
      <c r="D249" t="s">
        <v>46</v>
      </c>
      <c r="E249" t="s">
        <v>36</v>
      </c>
      <c r="F249" t="s">
        <v>50</v>
      </c>
      <c r="G249" t="s">
        <v>36</v>
      </c>
      <c r="H249" t="s">
        <v>28</v>
      </c>
      <c r="I249" t="s">
        <v>50</v>
      </c>
      <c r="J249" t="s">
        <v>41</v>
      </c>
      <c r="K249" t="s">
        <v>24</v>
      </c>
      <c r="L249">
        <v>10</v>
      </c>
    </row>
    <row r="250" spans="1:12">
      <c r="A250">
        <v>249</v>
      </c>
      <c r="B250">
        <v>2023</v>
      </c>
      <c r="C250" t="s">
        <v>294</v>
      </c>
      <c r="D250" t="s">
        <v>59</v>
      </c>
      <c r="E250" t="s">
        <v>14</v>
      </c>
      <c r="F250" t="s">
        <v>47</v>
      </c>
      <c r="G250" t="s">
        <v>14</v>
      </c>
      <c r="H250" t="s">
        <v>28</v>
      </c>
      <c r="I250" t="s">
        <v>47</v>
      </c>
      <c r="J250" t="s">
        <v>64</v>
      </c>
      <c r="K250" t="s">
        <v>18</v>
      </c>
      <c r="L250">
        <v>107</v>
      </c>
    </row>
    <row r="251" spans="1:12">
      <c r="A251">
        <v>250</v>
      </c>
      <c r="B251">
        <v>2023</v>
      </c>
      <c r="C251" t="s">
        <v>295</v>
      </c>
      <c r="D251" t="s">
        <v>20</v>
      </c>
      <c r="E251" t="s">
        <v>56</v>
      </c>
      <c r="F251" t="s">
        <v>47</v>
      </c>
      <c r="G251" t="s">
        <v>56</v>
      </c>
      <c r="H251" t="s">
        <v>28</v>
      </c>
      <c r="I251" t="s">
        <v>47</v>
      </c>
      <c r="J251" t="s">
        <v>116</v>
      </c>
      <c r="K251" t="s">
        <v>18</v>
      </c>
      <c r="L251">
        <v>57</v>
      </c>
    </row>
    <row r="252" spans="1:12">
      <c r="A252">
        <v>251</v>
      </c>
      <c r="B252">
        <v>2021</v>
      </c>
      <c r="C252" t="s">
        <v>296</v>
      </c>
      <c r="D252" t="s">
        <v>38</v>
      </c>
      <c r="E252" t="s">
        <v>15</v>
      </c>
      <c r="F252" t="s">
        <v>14</v>
      </c>
      <c r="G252" t="s">
        <v>15</v>
      </c>
      <c r="H252" t="s">
        <v>16</v>
      </c>
      <c r="I252" t="s">
        <v>14</v>
      </c>
      <c r="J252" t="s">
        <v>17</v>
      </c>
      <c r="K252" t="s">
        <v>18</v>
      </c>
      <c r="L252">
        <v>120</v>
      </c>
    </row>
    <row r="253" spans="1:12">
      <c r="A253">
        <v>252</v>
      </c>
      <c r="B253">
        <v>2022</v>
      </c>
      <c r="C253" t="s">
        <v>297</v>
      </c>
      <c r="D253" t="s">
        <v>59</v>
      </c>
      <c r="E253" t="s">
        <v>36</v>
      </c>
      <c r="F253" t="s">
        <v>27</v>
      </c>
      <c r="G253" t="s">
        <v>27</v>
      </c>
      <c r="H253" t="s">
        <v>28</v>
      </c>
      <c r="I253" t="s">
        <v>27</v>
      </c>
      <c r="J253" t="s">
        <v>95</v>
      </c>
      <c r="K253" t="s">
        <v>24</v>
      </c>
      <c r="L253">
        <v>3</v>
      </c>
    </row>
    <row r="254" spans="1:12">
      <c r="A254">
        <v>253</v>
      </c>
      <c r="B254">
        <v>2024</v>
      </c>
      <c r="C254" t="s">
        <v>298</v>
      </c>
      <c r="D254" t="s">
        <v>38</v>
      </c>
      <c r="E254" t="s">
        <v>32</v>
      </c>
      <c r="F254" t="s">
        <v>14</v>
      </c>
      <c r="G254" t="s">
        <v>32</v>
      </c>
      <c r="H254" t="s">
        <v>28</v>
      </c>
      <c r="I254" t="s">
        <v>14</v>
      </c>
      <c r="J254" t="s">
        <v>41</v>
      </c>
      <c r="K254" t="s">
        <v>18</v>
      </c>
      <c r="L254">
        <v>91</v>
      </c>
    </row>
    <row r="255" spans="1:12">
      <c r="A255">
        <v>254</v>
      </c>
      <c r="B255">
        <v>2023</v>
      </c>
      <c r="C255" t="s">
        <v>299</v>
      </c>
      <c r="D255" t="s">
        <v>35</v>
      </c>
      <c r="E255" t="s">
        <v>21</v>
      </c>
      <c r="F255" t="s">
        <v>50</v>
      </c>
      <c r="G255" t="s">
        <v>21</v>
      </c>
      <c r="H255" t="s">
        <v>28</v>
      </c>
      <c r="I255" t="s">
        <v>50</v>
      </c>
      <c r="J255" t="s">
        <v>66</v>
      </c>
      <c r="K255" t="s">
        <v>24</v>
      </c>
      <c r="L255">
        <v>2</v>
      </c>
    </row>
    <row r="256" spans="1:12">
      <c r="A256">
        <v>255</v>
      </c>
      <c r="B256">
        <v>2024</v>
      </c>
      <c r="C256" t="s">
        <v>300</v>
      </c>
      <c r="D256" t="s">
        <v>43</v>
      </c>
      <c r="E256" t="s">
        <v>36</v>
      </c>
      <c r="F256" t="s">
        <v>56</v>
      </c>
      <c r="G256" t="s">
        <v>56</v>
      </c>
      <c r="H256" t="s">
        <v>28</v>
      </c>
      <c r="I256" t="s">
        <v>36</v>
      </c>
      <c r="J256" t="s">
        <v>57</v>
      </c>
      <c r="K256" t="s">
        <v>24</v>
      </c>
      <c r="L256">
        <v>8</v>
      </c>
    </row>
    <row r="257" spans="1:12">
      <c r="A257">
        <v>256</v>
      </c>
      <c r="B257">
        <v>2023</v>
      </c>
      <c r="C257" t="s">
        <v>301</v>
      </c>
      <c r="D257" t="s">
        <v>59</v>
      </c>
      <c r="E257" t="s">
        <v>50</v>
      </c>
      <c r="F257" t="s">
        <v>21</v>
      </c>
      <c r="G257" t="s">
        <v>50</v>
      </c>
      <c r="H257" t="s">
        <v>28</v>
      </c>
      <c r="I257" t="s">
        <v>50</v>
      </c>
      <c r="J257" t="s">
        <v>95</v>
      </c>
      <c r="K257" t="s">
        <v>24</v>
      </c>
      <c r="L257">
        <v>2</v>
      </c>
    </row>
    <row r="258" spans="1:12">
      <c r="A258">
        <v>257</v>
      </c>
      <c r="B258">
        <v>2022</v>
      </c>
      <c r="C258" t="s">
        <v>302</v>
      </c>
      <c r="D258" t="s">
        <v>46</v>
      </c>
      <c r="E258" t="s">
        <v>36</v>
      </c>
      <c r="F258" t="s">
        <v>32</v>
      </c>
      <c r="G258" t="s">
        <v>32</v>
      </c>
      <c r="H258" t="s">
        <v>16</v>
      </c>
      <c r="I258" t="s">
        <v>32</v>
      </c>
      <c r="J258" t="s">
        <v>74</v>
      </c>
      <c r="K258" t="s">
        <v>18</v>
      </c>
      <c r="L258">
        <v>63</v>
      </c>
    </row>
    <row r="259" spans="1:12">
      <c r="A259">
        <v>258</v>
      </c>
      <c r="B259">
        <v>2022</v>
      </c>
      <c r="C259" t="s">
        <v>303</v>
      </c>
      <c r="D259" t="s">
        <v>43</v>
      </c>
      <c r="E259" t="s">
        <v>36</v>
      </c>
      <c r="F259" t="s">
        <v>27</v>
      </c>
      <c r="G259" t="s">
        <v>27</v>
      </c>
      <c r="H259" t="s">
        <v>28</v>
      </c>
      <c r="I259" t="s">
        <v>36</v>
      </c>
      <c r="J259" t="s">
        <v>39</v>
      </c>
      <c r="K259" t="s">
        <v>24</v>
      </c>
      <c r="L259">
        <v>8</v>
      </c>
    </row>
    <row r="260" spans="1:12">
      <c r="A260">
        <v>259</v>
      </c>
      <c r="B260">
        <v>2023</v>
      </c>
      <c r="C260" t="s">
        <v>223</v>
      </c>
      <c r="D260" t="s">
        <v>20</v>
      </c>
      <c r="E260" t="s">
        <v>14</v>
      </c>
      <c r="F260" t="s">
        <v>47</v>
      </c>
      <c r="G260" t="s">
        <v>14</v>
      </c>
      <c r="H260" t="s">
        <v>16</v>
      </c>
      <c r="I260" t="s">
        <v>47</v>
      </c>
      <c r="J260" t="s">
        <v>23</v>
      </c>
      <c r="K260" t="s">
        <v>24</v>
      </c>
      <c r="L260">
        <v>7</v>
      </c>
    </row>
    <row r="261" spans="1:12">
      <c r="A261">
        <v>260</v>
      </c>
      <c r="B261">
        <v>2024</v>
      </c>
      <c r="C261" t="s">
        <v>304</v>
      </c>
      <c r="D261" t="s">
        <v>38</v>
      </c>
      <c r="E261" t="s">
        <v>47</v>
      </c>
      <c r="F261" t="s">
        <v>27</v>
      </c>
      <c r="G261" t="s">
        <v>47</v>
      </c>
      <c r="H261" t="s">
        <v>16</v>
      </c>
      <c r="I261" t="s">
        <v>47</v>
      </c>
      <c r="J261" t="s">
        <v>53</v>
      </c>
      <c r="K261" t="s">
        <v>18</v>
      </c>
      <c r="L261">
        <v>36</v>
      </c>
    </row>
    <row r="262" spans="1:12">
      <c r="A262">
        <v>261</v>
      </c>
      <c r="B262">
        <v>2023</v>
      </c>
      <c r="C262" t="s">
        <v>305</v>
      </c>
      <c r="D262" t="s">
        <v>49</v>
      </c>
      <c r="E262" t="s">
        <v>27</v>
      </c>
      <c r="F262" t="s">
        <v>47</v>
      </c>
      <c r="G262" t="s">
        <v>47</v>
      </c>
      <c r="H262" t="s">
        <v>16</v>
      </c>
      <c r="I262" t="s">
        <v>27</v>
      </c>
      <c r="J262" t="s">
        <v>44</v>
      </c>
      <c r="K262" t="s">
        <v>24</v>
      </c>
      <c r="L262">
        <v>9</v>
      </c>
    </row>
    <row r="263" spans="1:12">
      <c r="A263">
        <v>262</v>
      </c>
      <c r="B263">
        <v>2024</v>
      </c>
      <c r="C263" t="s">
        <v>294</v>
      </c>
      <c r="D263" t="s">
        <v>35</v>
      </c>
      <c r="E263" t="s">
        <v>36</v>
      </c>
      <c r="F263" t="s">
        <v>22</v>
      </c>
      <c r="G263" t="s">
        <v>22</v>
      </c>
      <c r="H263" t="s">
        <v>16</v>
      </c>
      <c r="I263" t="s">
        <v>36</v>
      </c>
      <c r="J263" t="s">
        <v>53</v>
      </c>
      <c r="K263" t="s">
        <v>18</v>
      </c>
      <c r="L263">
        <v>58</v>
      </c>
    </row>
    <row r="264" spans="1:12">
      <c r="A264">
        <v>263</v>
      </c>
      <c r="B264">
        <v>2021</v>
      </c>
      <c r="C264" t="s">
        <v>306</v>
      </c>
      <c r="D264" t="s">
        <v>43</v>
      </c>
      <c r="E264" t="s">
        <v>47</v>
      </c>
      <c r="F264" t="s">
        <v>21</v>
      </c>
      <c r="G264" t="s">
        <v>47</v>
      </c>
      <c r="H264" t="s">
        <v>16</v>
      </c>
      <c r="I264" t="s">
        <v>21</v>
      </c>
      <c r="J264" t="s">
        <v>90</v>
      </c>
      <c r="K264" t="s">
        <v>24</v>
      </c>
      <c r="L264">
        <v>3</v>
      </c>
    </row>
    <row r="265" spans="1:12">
      <c r="A265">
        <v>264</v>
      </c>
      <c r="B265">
        <v>2022</v>
      </c>
      <c r="C265" t="s">
        <v>307</v>
      </c>
      <c r="D265" t="s">
        <v>43</v>
      </c>
      <c r="E265" t="s">
        <v>22</v>
      </c>
      <c r="F265" t="s">
        <v>14</v>
      </c>
      <c r="G265" t="s">
        <v>14</v>
      </c>
      <c r="H265" t="s">
        <v>28</v>
      </c>
      <c r="I265" t="s">
        <v>22</v>
      </c>
      <c r="J265" t="s">
        <v>81</v>
      </c>
      <c r="K265" t="s">
        <v>24</v>
      </c>
      <c r="L265">
        <v>5</v>
      </c>
    </row>
    <row r="266" spans="1:12">
      <c r="A266">
        <v>265</v>
      </c>
      <c r="B266">
        <v>2025</v>
      </c>
      <c r="C266" t="s">
        <v>308</v>
      </c>
      <c r="D266" t="s">
        <v>59</v>
      </c>
      <c r="E266" t="s">
        <v>21</v>
      </c>
      <c r="F266" t="s">
        <v>27</v>
      </c>
      <c r="G266" t="s">
        <v>27</v>
      </c>
      <c r="H266" t="s">
        <v>16</v>
      </c>
      <c r="I266" t="s">
        <v>27</v>
      </c>
      <c r="J266" t="s">
        <v>29</v>
      </c>
      <c r="K266" t="s">
        <v>18</v>
      </c>
      <c r="L266">
        <v>32</v>
      </c>
    </row>
    <row r="267" spans="1:12">
      <c r="A267">
        <v>266</v>
      </c>
      <c r="B267">
        <v>2023</v>
      </c>
      <c r="C267" t="s">
        <v>309</v>
      </c>
      <c r="D267" t="s">
        <v>31</v>
      </c>
      <c r="E267" t="s">
        <v>22</v>
      </c>
      <c r="F267" t="s">
        <v>32</v>
      </c>
      <c r="G267" t="s">
        <v>32</v>
      </c>
      <c r="H267" t="s">
        <v>16</v>
      </c>
      <c r="I267" t="s">
        <v>32</v>
      </c>
      <c r="J267" t="s">
        <v>74</v>
      </c>
      <c r="K267" t="s">
        <v>24</v>
      </c>
      <c r="L267">
        <v>8</v>
      </c>
    </row>
    <row r="268" spans="1:12">
      <c r="A268">
        <v>267</v>
      </c>
      <c r="B268">
        <v>2021</v>
      </c>
      <c r="C268" t="s">
        <v>310</v>
      </c>
      <c r="D268" t="s">
        <v>49</v>
      </c>
      <c r="E268" t="s">
        <v>32</v>
      </c>
      <c r="F268" t="s">
        <v>36</v>
      </c>
      <c r="G268" t="s">
        <v>36</v>
      </c>
      <c r="H268" t="s">
        <v>28</v>
      </c>
      <c r="I268" t="s">
        <v>36</v>
      </c>
      <c r="J268" t="s">
        <v>116</v>
      </c>
      <c r="K268" t="s">
        <v>24</v>
      </c>
      <c r="L268">
        <v>10</v>
      </c>
    </row>
    <row r="269" spans="1:12">
      <c r="A269">
        <v>268</v>
      </c>
      <c r="B269">
        <v>2021</v>
      </c>
      <c r="C269" t="s">
        <v>183</v>
      </c>
      <c r="D269" t="s">
        <v>35</v>
      </c>
      <c r="E269" t="s">
        <v>47</v>
      </c>
      <c r="F269" t="s">
        <v>56</v>
      </c>
      <c r="G269" t="s">
        <v>47</v>
      </c>
      <c r="H269" t="s">
        <v>28</v>
      </c>
      <c r="I269" t="s">
        <v>47</v>
      </c>
      <c r="J269" t="s">
        <v>74</v>
      </c>
      <c r="K269" t="s">
        <v>18</v>
      </c>
      <c r="L269">
        <v>64</v>
      </c>
    </row>
    <row r="270" spans="1:12">
      <c r="A270">
        <v>269</v>
      </c>
      <c r="B270">
        <v>2023</v>
      </c>
      <c r="C270" t="s">
        <v>311</v>
      </c>
      <c r="D270" t="s">
        <v>20</v>
      </c>
      <c r="E270" t="s">
        <v>56</v>
      </c>
      <c r="F270" t="s">
        <v>36</v>
      </c>
      <c r="G270" t="s">
        <v>56</v>
      </c>
      <c r="H270" t="s">
        <v>28</v>
      </c>
      <c r="I270" t="s">
        <v>36</v>
      </c>
      <c r="J270" t="s">
        <v>33</v>
      </c>
      <c r="K270" t="s">
        <v>18</v>
      </c>
      <c r="L270">
        <v>13</v>
      </c>
    </row>
    <row r="271" spans="1:12">
      <c r="A271">
        <v>270</v>
      </c>
      <c r="B271">
        <v>2021</v>
      </c>
      <c r="C271" t="s">
        <v>312</v>
      </c>
      <c r="D271" t="s">
        <v>35</v>
      </c>
      <c r="E271" t="s">
        <v>27</v>
      </c>
      <c r="F271" t="s">
        <v>47</v>
      </c>
      <c r="G271" t="s">
        <v>47</v>
      </c>
      <c r="H271" t="s">
        <v>16</v>
      </c>
      <c r="I271" t="s">
        <v>47</v>
      </c>
      <c r="J271" t="s">
        <v>66</v>
      </c>
      <c r="K271" t="s">
        <v>18</v>
      </c>
      <c r="L271">
        <v>113</v>
      </c>
    </row>
    <row r="272" spans="1:12">
      <c r="A272">
        <v>271</v>
      </c>
      <c r="B272">
        <v>2023</v>
      </c>
      <c r="C272" t="s">
        <v>313</v>
      </c>
      <c r="D272" t="s">
        <v>35</v>
      </c>
      <c r="E272" t="s">
        <v>21</v>
      </c>
      <c r="F272" t="s">
        <v>56</v>
      </c>
      <c r="G272" t="s">
        <v>56</v>
      </c>
      <c r="H272" t="s">
        <v>16</v>
      </c>
      <c r="I272" t="s">
        <v>56</v>
      </c>
      <c r="J272" t="s">
        <v>39</v>
      </c>
      <c r="K272" t="s">
        <v>18</v>
      </c>
      <c r="L272">
        <v>51</v>
      </c>
    </row>
    <row r="273" spans="1:12">
      <c r="A273">
        <v>272</v>
      </c>
      <c r="B273">
        <v>2022</v>
      </c>
      <c r="C273" t="s">
        <v>314</v>
      </c>
      <c r="D273" t="s">
        <v>43</v>
      </c>
      <c r="E273" t="s">
        <v>32</v>
      </c>
      <c r="F273" t="s">
        <v>21</v>
      </c>
      <c r="G273" t="s">
        <v>32</v>
      </c>
      <c r="H273" t="s">
        <v>16</v>
      </c>
      <c r="I273" t="s">
        <v>32</v>
      </c>
      <c r="J273" t="s">
        <v>116</v>
      </c>
      <c r="K273" t="s">
        <v>18</v>
      </c>
      <c r="L273">
        <v>17</v>
      </c>
    </row>
    <row r="274" spans="1:12">
      <c r="A274">
        <v>273</v>
      </c>
      <c r="B274">
        <v>2025</v>
      </c>
      <c r="C274" t="s">
        <v>129</v>
      </c>
      <c r="D274" t="s">
        <v>31</v>
      </c>
      <c r="E274" t="s">
        <v>47</v>
      </c>
      <c r="F274" t="s">
        <v>14</v>
      </c>
      <c r="G274" t="s">
        <v>47</v>
      </c>
      <c r="H274" t="s">
        <v>28</v>
      </c>
      <c r="I274" t="s">
        <v>47</v>
      </c>
      <c r="J274" t="s">
        <v>74</v>
      </c>
      <c r="K274" t="s">
        <v>18</v>
      </c>
      <c r="L274">
        <v>62</v>
      </c>
    </row>
    <row r="275" spans="1:12">
      <c r="A275">
        <v>274</v>
      </c>
      <c r="B275">
        <v>2024</v>
      </c>
      <c r="C275" t="s">
        <v>315</v>
      </c>
      <c r="D275" t="s">
        <v>59</v>
      </c>
      <c r="E275" t="s">
        <v>21</v>
      </c>
      <c r="F275" t="s">
        <v>50</v>
      </c>
      <c r="G275" t="s">
        <v>21</v>
      </c>
      <c r="H275" t="s">
        <v>28</v>
      </c>
      <c r="I275" t="s">
        <v>50</v>
      </c>
      <c r="J275" t="s">
        <v>53</v>
      </c>
      <c r="K275" t="s">
        <v>18</v>
      </c>
      <c r="L275">
        <v>49</v>
      </c>
    </row>
    <row r="276" spans="1:12">
      <c r="A276">
        <v>275</v>
      </c>
      <c r="B276">
        <v>2022</v>
      </c>
      <c r="C276" t="s">
        <v>316</v>
      </c>
      <c r="D276" t="s">
        <v>59</v>
      </c>
      <c r="E276" t="s">
        <v>21</v>
      </c>
      <c r="F276" t="s">
        <v>36</v>
      </c>
      <c r="G276" t="s">
        <v>21</v>
      </c>
      <c r="H276" t="s">
        <v>16</v>
      </c>
      <c r="I276" t="s">
        <v>36</v>
      </c>
      <c r="J276" t="s">
        <v>57</v>
      </c>
      <c r="K276" t="s">
        <v>18</v>
      </c>
      <c r="L276">
        <v>81</v>
      </c>
    </row>
    <row r="277" spans="1:12">
      <c r="A277">
        <v>276</v>
      </c>
      <c r="B277">
        <v>2025</v>
      </c>
      <c r="C277" t="s">
        <v>317</v>
      </c>
      <c r="D277" t="s">
        <v>13</v>
      </c>
      <c r="E277" t="s">
        <v>47</v>
      </c>
      <c r="F277" t="s">
        <v>22</v>
      </c>
      <c r="G277" t="s">
        <v>47</v>
      </c>
      <c r="H277" t="s">
        <v>16</v>
      </c>
      <c r="I277" t="s">
        <v>47</v>
      </c>
      <c r="J277" t="s">
        <v>17</v>
      </c>
      <c r="K277" t="s">
        <v>24</v>
      </c>
      <c r="L277">
        <v>6</v>
      </c>
    </row>
    <row r="278" spans="1:12">
      <c r="A278">
        <v>277</v>
      </c>
      <c r="B278">
        <v>2022</v>
      </c>
      <c r="C278" t="s">
        <v>318</v>
      </c>
      <c r="D278" t="s">
        <v>46</v>
      </c>
      <c r="E278" t="s">
        <v>22</v>
      </c>
      <c r="F278" t="s">
        <v>15</v>
      </c>
      <c r="G278" t="s">
        <v>22</v>
      </c>
      <c r="H278" t="s">
        <v>16</v>
      </c>
      <c r="I278" t="s">
        <v>15</v>
      </c>
      <c r="J278" t="s">
        <v>87</v>
      </c>
      <c r="K278" t="s">
        <v>24</v>
      </c>
      <c r="L278">
        <v>4</v>
      </c>
    </row>
    <row r="279" spans="1:12">
      <c r="A279">
        <v>278</v>
      </c>
      <c r="B279">
        <v>2025</v>
      </c>
      <c r="C279" t="s">
        <v>319</v>
      </c>
      <c r="D279" t="s">
        <v>38</v>
      </c>
      <c r="E279" t="s">
        <v>22</v>
      </c>
      <c r="F279" t="s">
        <v>32</v>
      </c>
      <c r="G279" t="s">
        <v>32</v>
      </c>
      <c r="H279" t="s">
        <v>16</v>
      </c>
      <c r="I279" t="s">
        <v>22</v>
      </c>
      <c r="J279" t="s">
        <v>116</v>
      </c>
      <c r="K279" t="s">
        <v>24</v>
      </c>
      <c r="L279">
        <v>2</v>
      </c>
    </row>
    <row r="280" spans="1:12">
      <c r="A280">
        <v>279</v>
      </c>
      <c r="B280">
        <v>2025</v>
      </c>
      <c r="C280" t="s">
        <v>320</v>
      </c>
      <c r="D280" t="s">
        <v>13</v>
      </c>
      <c r="E280" t="s">
        <v>21</v>
      </c>
      <c r="F280" t="s">
        <v>36</v>
      </c>
      <c r="G280" t="s">
        <v>21</v>
      </c>
      <c r="H280" t="s">
        <v>28</v>
      </c>
      <c r="I280" t="s">
        <v>36</v>
      </c>
      <c r="J280" t="s">
        <v>29</v>
      </c>
      <c r="K280" t="s">
        <v>24</v>
      </c>
      <c r="L280">
        <v>10</v>
      </c>
    </row>
    <row r="281" spans="1:12">
      <c r="A281">
        <v>280</v>
      </c>
      <c r="B281">
        <v>2025</v>
      </c>
      <c r="C281" t="s">
        <v>321</v>
      </c>
      <c r="D281" t="s">
        <v>49</v>
      </c>
      <c r="E281" t="s">
        <v>27</v>
      </c>
      <c r="F281" t="s">
        <v>47</v>
      </c>
      <c r="G281" t="s">
        <v>27</v>
      </c>
      <c r="H281" t="s">
        <v>16</v>
      </c>
      <c r="I281" t="s">
        <v>27</v>
      </c>
      <c r="J281" t="s">
        <v>87</v>
      </c>
      <c r="K281" t="s">
        <v>24</v>
      </c>
      <c r="L281">
        <v>4</v>
      </c>
    </row>
    <row r="282" spans="1:12">
      <c r="A282">
        <v>281</v>
      </c>
      <c r="B282">
        <v>2024</v>
      </c>
      <c r="C282" t="s">
        <v>322</v>
      </c>
      <c r="D282" t="s">
        <v>31</v>
      </c>
      <c r="E282" t="s">
        <v>36</v>
      </c>
      <c r="F282" t="s">
        <v>15</v>
      </c>
      <c r="G282" t="s">
        <v>15</v>
      </c>
      <c r="H282" t="s">
        <v>28</v>
      </c>
      <c r="I282" t="s">
        <v>15</v>
      </c>
      <c r="J282" t="s">
        <v>64</v>
      </c>
      <c r="K282" t="s">
        <v>18</v>
      </c>
      <c r="L282">
        <v>36</v>
      </c>
    </row>
    <row r="283" spans="1:12">
      <c r="A283">
        <v>282</v>
      </c>
      <c r="B283">
        <v>2021</v>
      </c>
      <c r="C283" t="s">
        <v>323</v>
      </c>
      <c r="D283" t="s">
        <v>13</v>
      </c>
      <c r="E283" t="s">
        <v>36</v>
      </c>
      <c r="F283" t="s">
        <v>22</v>
      </c>
      <c r="G283" t="s">
        <v>36</v>
      </c>
      <c r="H283" t="s">
        <v>28</v>
      </c>
      <c r="I283" t="s">
        <v>22</v>
      </c>
      <c r="J283" t="s">
        <v>62</v>
      </c>
      <c r="K283" t="s">
        <v>18</v>
      </c>
      <c r="L283">
        <v>40</v>
      </c>
    </row>
    <row r="284" spans="1:12">
      <c r="A284">
        <v>283</v>
      </c>
      <c r="B284">
        <v>2022</v>
      </c>
      <c r="C284" t="s">
        <v>324</v>
      </c>
      <c r="D284" t="s">
        <v>59</v>
      </c>
      <c r="E284" t="s">
        <v>14</v>
      </c>
      <c r="F284" t="s">
        <v>22</v>
      </c>
      <c r="G284" t="s">
        <v>14</v>
      </c>
      <c r="H284" t="s">
        <v>28</v>
      </c>
      <c r="I284" t="s">
        <v>14</v>
      </c>
      <c r="J284" t="s">
        <v>76</v>
      </c>
      <c r="K284" t="s">
        <v>18</v>
      </c>
      <c r="L284">
        <v>40</v>
      </c>
    </row>
    <row r="285" spans="1:12">
      <c r="A285">
        <v>284</v>
      </c>
      <c r="B285">
        <v>2021</v>
      </c>
      <c r="C285" t="s">
        <v>325</v>
      </c>
      <c r="D285" t="s">
        <v>26</v>
      </c>
      <c r="E285" t="s">
        <v>27</v>
      </c>
      <c r="F285" t="s">
        <v>14</v>
      </c>
      <c r="G285" t="s">
        <v>27</v>
      </c>
      <c r="H285" t="s">
        <v>28</v>
      </c>
      <c r="I285" t="s">
        <v>14</v>
      </c>
      <c r="J285" t="s">
        <v>152</v>
      </c>
      <c r="K285" t="s">
        <v>24</v>
      </c>
      <c r="L285">
        <v>3</v>
      </c>
    </row>
    <row r="286" spans="1:12">
      <c r="A286">
        <v>285</v>
      </c>
      <c r="B286">
        <v>2023</v>
      </c>
      <c r="C286" t="s">
        <v>326</v>
      </c>
      <c r="D286" t="s">
        <v>43</v>
      </c>
      <c r="E286" t="s">
        <v>21</v>
      </c>
      <c r="F286" t="s">
        <v>14</v>
      </c>
      <c r="G286" t="s">
        <v>14</v>
      </c>
      <c r="H286" t="s">
        <v>28</v>
      </c>
      <c r="I286" t="s">
        <v>14</v>
      </c>
      <c r="J286" t="s">
        <v>152</v>
      </c>
      <c r="K286" t="s">
        <v>18</v>
      </c>
      <c r="L286">
        <v>34</v>
      </c>
    </row>
    <row r="287" spans="1:12">
      <c r="A287">
        <v>286</v>
      </c>
      <c r="B287">
        <v>2021</v>
      </c>
      <c r="C287" t="s">
        <v>327</v>
      </c>
      <c r="D287" t="s">
        <v>59</v>
      </c>
      <c r="E287" t="s">
        <v>47</v>
      </c>
      <c r="F287" t="s">
        <v>50</v>
      </c>
      <c r="G287" t="s">
        <v>50</v>
      </c>
      <c r="H287" t="s">
        <v>16</v>
      </c>
      <c r="I287" t="s">
        <v>50</v>
      </c>
      <c r="J287" t="s">
        <v>62</v>
      </c>
      <c r="K287" t="s">
        <v>18</v>
      </c>
      <c r="L287">
        <v>48</v>
      </c>
    </row>
    <row r="288" spans="1:12">
      <c r="A288">
        <v>287</v>
      </c>
      <c r="B288">
        <v>2021</v>
      </c>
      <c r="C288" t="s">
        <v>328</v>
      </c>
      <c r="D288" t="s">
        <v>20</v>
      </c>
      <c r="E288" t="s">
        <v>50</v>
      </c>
      <c r="F288" t="s">
        <v>21</v>
      </c>
      <c r="G288" t="s">
        <v>50</v>
      </c>
      <c r="H288" t="s">
        <v>16</v>
      </c>
      <c r="I288" t="s">
        <v>50</v>
      </c>
      <c r="J288" t="s">
        <v>87</v>
      </c>
      <c r="K288" t="s">
        <v>18</v>
      </c>
      <c r="L288">
        <v>6</v>
      </c>
    </row>
    <row r="289" spans="1:12">
      <c r="A289">
        <v>288</v>
      </c>
      <c r="B289">
        <v>2024</v>
      </c>
      <c r="C289" t="s">
        <v>329</v>
      </c>
      <c r="D289" t="s">
        <v>26</v>
      </c>
      <c r="E289" t="s">
        <v>27</v>
      </c>
      <c r="F289" t="s">
        <v>50</v>
      </c>
      <c r="G289" t="s">
        <v>27</v>
      </c>
      <c r="H289" t="s">
        <v>28</v>
      </c>
      <c r="I289" t="s">
        <v>27</v>
      </c>
      <c r="J289" t="s">
        <v>81</v>
      </c>
      <c r="K289" t="s">
        <v>18</v>
      </c>
      <c r="L289">
        <v>54</v>
      </c>
    </row>
    <row r="290" spans="1:12">
      <c r="A290">
        <v>289</v>
      </c>
      <c r="B290">
        <v>2021</v>
      </c>
      <c r="C290" t="s">
        <v>330</v>
      </c>
      <c r="D290" t="s">
        <v>31</v>
      </c>
      <c r="E290" t="s">
        <v>50</v>
      </c>
      <c r="F290" t="s">
        <v>56</v>
      </c>
      <c r="G290" t="s">
        <v>50</v>
      </c>
      <c r="H290" t="s">
        <v>16</v>
      </c>
      <c r="I290" t="s">
        <v>50</v>
      </c>
      <c r="J290" t="s">
        <v>95</v>
      </c>
      <c r="K290" t="s">
        <v>18</v>
      </c>
      <c r="L290">
        <v>52</v>
      </c>
    </row>
    <row r="291" spans="1:12">
      <c r="A291">
        <v>290</v>
      </c>
      <c r="B291">
        <v>2024</v>
      </c>
      <c r="C291" t="s">
        <v>276</v>
      </c>
      <c r="D291" t="s">
        <v>35</v>
      </c>
      <c r="E291" t="s">
        <v>15</v>
      </c>
      <c r="F291" t="s">
        <v>50</v>
      </c>
      <c r="G291" t="s">
        <v>50</v>
      </c>
      <c r="H291" t="s">
        <v>16</v>
      </c>
      <c r="I291" t="s">
        <v>50</v>
      </c>
      <c r="J291" t="s">
        <v>87</v>
      </c>
      <c r="K291" t="s">
        <v>24</v>
      </c>
      <c r="L291">
        <v>4</v>
      </c>
    </row>
    <row r="292" spans="1:12">
      <c r="A292">
        <v>291</v>
      </c>
      <c r="B292">
        <v>2023</v>
      </c>
      <c r="C292" t="s">
        <v>331</v>
      </c>
      <c r="D292" t="s">
        <v>49</v>
      </c>
      <c r="E292" t="s">
        <v>50</v>
      </c>
      <c r="F292" t="s">
        <v>22</v>
      </c>
      <c r="G292" t="s">
        <v>22</v>
      </c>
      <c r="H292" t="s">
        <v>28</v>
      </c>
      <c r="I292" t="s">
        <v>22</v>
      </c>
      <c r="J292" t="s">
        <v>66</v>
      </c>
      <c r="K292" t="s">
        <v>18</v>
      </c>
      <c r="L292">
        <v>20</v>
      </c>
    </row>
    <row r="293" spans="1:12">
      <c r="A293">
        <v>292</v>
      </c>
      <c r="B293">
        <v>2021</v>
      </c>
      <c r="C293" t="s">
        <v>160</v>
      </c>
      <c r="D293" t="s">
        <v>31</v>
      </c>
      <c r="E293" t="s">
        <v>22</v>
      </c>
      <c r="F293" t="s">
        <v>36</v>
      </c>
      <c r="G293" t="s">
        <v>36</v>
      </c>
      <c r="H293" t="s">
        <v>16</v>
      </c>
      <c r="I293" t="s">
        <v>36</v>
      </c>
      <c r="J293" t="s">
        <v>87</v>
      </c>
      <c r="K293" t="s">
        <v>24</v>
      </c>
      <c r="L293">
        <v>5</v>
      </c>
    </row>
    <row r="294" spans="1:12">
      <c r="A294">
        <v>293</v>
      </c>
      <c r="B294">
        <v>2025</v>
      </c>
      <c r="C294" t="s">
        <v>332</v>
      </c>
      <c r="D294" t="s">
        <v>38</v>
      </c>
      <c r="E294" t="s">
        <v>22</v>
      </c>
      <c r="F294" t="s">
        <v>32</v>
      </c>
      <c r="G294" t="s">
        <v>32</v>
      </c>
      <c r="H294" t="s">
        <v>16</v>
      </c>
      <c r="I294" t="s">
        <v>22</v>
      </c>
      <c r="J294" t="s">
        <v>44</v>
      </c>
      <c r="K294" t="s">
        <v>18</v>
      </c>
      <c r="L294">
        <v>6</v>
      </c>
    </row>
    <row r="295" spans="1:12">
      <c r="A295">
        <v>294</v>
      </c>
      <c r="B295">
        <v>2025</v>
      </c>
      <c r="C295" t="s">
        <v>333</v>
      </c>
      <c r="D295" t="s">
        <v>13</v>
      </c>
      <c r="E295" t="s">
        <v>32</v>
      </c>
      <c r="F295" t="s">
        <v>56</v>
      </c>
      <c r="G295" t="s">
        <v>56</v>
      </c>
      <c r="H295" t="s">
        <v>16</v>
      </c>
      <c r="I295" t="s">
        <v>32</v>
      </c>
      <c r="J295" t="s">
        <v>152</v>
      </c>
      <c r="K295" t="s">
        <v>18</v>
      </c>
      <c r="L295">
        <v>82</v>
      </c>
    </row>
    <row r="296" spans="1:12">
      <c r="A296">
        <v>295</v>
      </c>
      <c r="B296">
        <v>2025</v>
      </c>
      <c r="C296" t="s">
        <v>334</v>
      </c>
      <c r="D296" t="s">
        <v>13</v>
      </c>
      <c r="E296" t="s">
        <v>50</v>
      </c>
      <c r="F296" t="s">
        <v>14</v>
      </c>
      <c r="G296" t="s">
        <v>14</v>
      </c>
      <c r="H296" t="s">
        <v>16</v>
      </c>
      <c r="I296" t="s">
        <v>50</v>
      </c>
      <c r="J296" t="s">
        <v>53</v>
      </c>
      <c r="K296" t="s">
        <v>24</v>
      </c>
      <c r="L296">
        <v>6</v>
      </c>
    </row>
    <row r="297" spans="1:12">
      <c r="A297">
        <v>296</v>
      </c>
      <c r="B297">
        <v>2023</v>
      </c>
      <c r="C297" t="s">
        <v>335</v>
      </c>
      <c r="D297" t="s">
        <v>43</v>
      </c>
      <c r="E297" t="s">
        <v>56</v>
      </c>
      <c r="F297" t="s">
        <v>47</v>
      </c>
      <c r="G297" t="s">
        <v>47</v>
      </c>
      <c r="H297" t="s">
        <v>16</v>
      </c>
      <c r="I297" t="s">
        <v>56</v>
      </c>
      <c r="J297" t="s">
        <v>66</v>
      </c>
      <c r="K297" t="s">
        <v>18</v>
      </c>
      <c r="L297">
        <v>100</v>
      </c>
    </row>
    <row r="298" spans="1:12">
      <c r="A298">
        <v>297</v>
      </c>
      <c r="B298">
        <v>2022</v>
      </c>
      <c r="C298" t="s">
        <v>336</v>
      </c>
      <c r="D298" t="s">
        <v>26</v>
      </c>
      <c r="E298" t="s">
        <v>21</v>
      </c>
      <c r="F298" t="s">
        <v>27</v>
      </c>
      <c r="G298" t="s">
        <v>27</v>
      </c>
      <c r="H298" t="s">
        <v>28</v>
      </c>
      <c r="I298" t="s">
        <v>27</v>
      </c>
      <c r="J298" t="s">
        <v>74</v>
      </c>
      <c r="K298" t="s">
        <v>18</v>
      </c>
      <c r="L298">
        <v>69</v>
      </c>
    </row>
    <row r="299" spans="1:12">
      <c r="A299">
        <v>298</v>
      </c>
      <c r="B299">
        <v>2022</v>
      </c>
      <c r="C299" t="s">
        <v>337</v>
      </c>
      <c r="D299" t="s">
        <v>35</v>
      </c>
      <c r="E299" t="s">
        <v>47</v>
      </c>
      <c r="F299" t="s">
        <v>15</v>
      </c>
      <c r="G299" t="s">
        <v>15</v>
      </c>
      <c r="H299" t="s">
        <v>28</v>
      </c>
      <c r="I299" t="s">
        <v>47</v>
      </c>
      <c r="J299" t="s">
        <v>64</v>
      </c>
      <c r="K299" t="s">
        <v>18</v>
      </c>
      <c r="L299">
        <v>104</v>
      </c>
    </row>
    <row r="300" spans="1:12">
      <c r="A300">
        <v>299</v>
      </c>
      <c r="B300">
        <v>2025</v>
      </c>
      <c r="C300" t="s">
        <v>338</v>
      </c>
      <c r="D300" t="s">
        <v>46</v>
      </c>
      <c r="E300" t="s">
        <v>14</v>
      </c>
      <c r="F300" t="s">
        <v>22</v>
      </c>
      <c r="G300" t="s">
        <v>22</v>
      </c>
      <c r="H300" t="s">
        <v>16</v>
      </c>
      <c r="I300" t="s">
        <v>14</v>
      </c>
      <c r="J300" t="s">
        <v>95</v>
      </c>
      <c r="K300" t="s">
        <v>24</v>
      </c>
      <c r="L300">
        <v>7</v>
      </c>
    </row>
    <row r="301" spans="1:12">
      <c r="A301">
        <v>300</v>
      </c>
      <c r="B301">
        <v>2023</v>
      </c>
      <c r="C301" t="s">
        <v>109</v>
      </c>
      <c r="D301" t="s">
        <v>20</v>
      </c>
      <c r="E301" t="s">
        <v>15</v>
      </c>
      <c r="F301" t="s">
        <v>27</v>
      </c>
      <c r="G301" t="s">
        <v>15</v>
      </c>
      <c r="H301" t="s">
        <v>28</v>
      </c>
      <c r="I301" t="s">
        <v>27</v>
      </c>
      <c r="J301" t="s">
        <v>23</v>
      </c>
      <c r="K301" t="s">
        <v>18</v>
      </c>
      <c r="L301">
        <v>13</v>
      </c>
    </row>
    <row r="302" spans="1:12">
      <c r="A302">
        <v>301</v>
      </c>
      <c r="B302">
        <v>2022</v>
      </c>
      <c r="C302" t="s">
        <v>82</v>
      </c>
      <c r="D302" t="s">
        <v>31</v>
      </c>
      <c r="E302" t="s">
        <v>21</v>
      </c>
      <c r="F302" t="s">
        <v>14</v>
      </c>
      <c r="G302" t="s">
        <v>21</v>
      </c>
      <c r="H302" t="s">
        <v>16</v>
      </c>
      <c r="I302" t="s">
        <v>21</v>
      </c>
      <c r="J302" t="s">
        <v>66</v>
      </c>
      <c r="K302" t="s">
        <v>24</v>
      </c>
      <c r="L302">
        <v>6</v>
      </c>
    </row>
    <row r="303" spans="1:12">
      <c r="A303">
        <v>302</v>
      </c>
      <c r="B303">
        <v>2025</v>
      </c>
      <c r="C303" t="s">
        <v>339</v>
      </c>
      <c r="D303" t="s">
        <v>26</v>
      </c>
      <c r="E303" t="s">
        <v>15</v>
      </c>
      <c r="F303" t="s">
        <v>21</v>
      </c>
      <c r="G303" t="s">
        <v>15</v>
      </c>
      <c r="H303" t="s">
        <v>16</v>
      </c>
      <c r="I303" t="s">
        <v>15</v>
      </c>
      <c r="J303" t="s">
        <v>76</v>
      </c>
      <c r="K303" t="s">
        <v>18</v>
      </c>
      <c r="L303">
        <v>12</v>
      </c>
    </row>
    <row r="304" spans="1:12">
      <c r="A304">
        <v>303</v>
      </c>
      <c r="B304">
        <v>2021</v>
      </c>
      <c r="C304" t="s">
        <v>300</v>
      </c>
      <c r="D304" t="s">
        <v>13</v>
      </c>
      <c r="E304" t="s">
        <v>47</v>
      </c>
      <c r="F304" t="s">
        <v>14</v>
      </c>
      <c r="G304" t="s">
        <v>47</v>
      </c>
      <c r="H304" t="s">
        <v>28</v>
      </c>
      <c r="I304" t="s">
        <v>14</v>
      </c>
      <c r="J304" t="s">
        <v>116</v>
      </c>
      <c r="K304" t="s">
        <v>18</v>
      </c>
      <c r="L304">
        <v>49</v>
      </c>
    </row>
    <row r="305" spans="1:12">
      <c r="A305">
        <v>304</v>
      </c>
      <c r="B305">
        <v>2023</v>
      </c>
      <c r="C305" t="s">
        <v>340</v>
      </c>
      <c r="D305" t="s">
        <v>43</v>
      </c>
      <c r="E305" t="s">
        <v>22</v>
      </c>
      <c r="F305" t="s">
        <v>27</v>
      </c>
      <c r="G305" t="s">
        <v>27</v>
      </c>
      <c r="H305" t="s">
        <v>28</v>
      </c>
      <c r="I305" t="s">
        <v>27</v>
      </c>
      <c r="J305" t="s">
        <v>29</v>
      </c>
      <c r="K305" t="s">
        <v>18</v>
      </c>
      <c r="L305">
        <v>79</v>
      </c>
    </row>
    <row r="306" spans="1:12">
      <c r="A306">
        <v>305</v>
      </c>
      <c r="B306">
        <v>2022</v>
      </c>
      <c r="C306" t="s">
        <v>341</v>
      </c>
      <c r="D306" t="s">
        <v>59</v>
      </c>
      <c r="E306" t="s">
        <v>15</v>
      </c>
      <c r="F306" t="s">
        <v>47</v>
      </c>
      <c r="G306" t="s">
        <v>47</v>
      </c>
      <c r="H306" t="s">
        <v>28</v>
      </c>
      <c r="I306" t="s">
        <v>15</v>
      </c>
      <c r="J306" t="s">
        <v>64</v>
      </c>
      <c r="K306" t="s">
        <v>24</v>
      </c>
      <c r="L306">
        <v>7</v>
      </c>
    </row>
    <row r="307" spans="1:12">
      <c r="A307">
        <v>306</v>
      </c>
      <c r="B307">
        <v>2022</v>
      </c>
      <c r="C307" t="s">
        <v>197</v>
      </c>
      <c r="D307" t="s">
        <v>43</v>
      </c>
      <c r="E307" t="s">
        <v>36</v>
      </c>
      <c r="F307" t="s">
        <v>22</v>
      </c>
      <c r="G307" t="s">
        <v>36</v>
      </c>
      <c r="H307" t="s">
        <v>28</v>
      </c>
      <c r="I307" t="s">
        <v>22</v>
      </c>
      <c r="J307" t="s">
        <v>116</v>
      </c>
      <c r="K307" t="s">
        <v>24</v>
      </c>
      <c r="L307">
        <v>6</v>
      </c>
    </row>
    <row r="308" spans="1:12">
      <c r="A308">
        <v>307</v>
      </c>
      <c r="B308">
        <v>2023</v>
      </c>
      <c r="C308" t="s">
        <v>342</v>
      </c>
      <c r="D308" t="s">
        <v>35</v>
      </c>
      <c r="E308" t="s">
        <v>32</v>
      </c>
      <c r="F308" t="s">
        <v>15</v>
      </c>
      <c r="G308" t="s">
        <v>32</v>
      </c>
      <c r="H308" t="s">
        <v>16</v>
      </c>
      <c r="I308" t="s">
        <v>15</v>
      </c>
      <c r="J308" t="s">
        <v>90</v>
      </c>
      <c r="K308" t="s">
        <v>18</v>
      </c>
      <c r="L308">
        <v>4</v>
      </c>
    </row>
    <row r="309" spans="1:12">
      <c r="A309">
        <v>308</v>
      </c>
      <c r="B309">
        <v>2024</v>
      </c>
      <c r="C309" t="s">
        <v>343</v>
      </c>
      <c r="D309" t="s">
        <v>46</v>
      </c>
      <c r="E309" t="s">
        <v>36</v>
      </c>
      <c r="F309" t="s">
        <v>56</v>
      </c>
      <c r="G309" t="s">
        <v>36</v>
      </c>
      <c r="H309" t="s">
        <v>16</v>
      </c>
      <c r="I309" t="s">
        <v>36</v>
      </c>
      <c r="J309" t="s">
        <v>95</v>
      </c>
      <c r="K309" t="s">
        <v>18</v>
      </c>
      <c r="L309">
        <v>35</v>
      </c>
    </row>
    <row r="310" spans="1:12">
      <c r="A310">
        <v>309</v>
      </c>
      <c r="B310">
        <v>2021</v>
      </c>
      <c r="C310" t="s">
        <v>344</v>
      </c>
      <c r="D310" t="s">
        <v>43</v>
      </c>
      <c r="E310" t="s">
        <v>22</v>
      </c>
      <c r="F310" t="s">
        <v>32</v>
      </c>
      <c r="G310" t="s">
        <v>32</v>
      </c>
      <c r="H310" t="s">
        <v>16</v>
      </c>
      <c r="I310" t="s">
        <v>22</v>
      </c>
      <c r="J310" t="s">
        <v>95</v>
      </c>
      <c r="K310" t="s">
        <v>24</v>
      </c>
      <c r="L310">
        <v>6</v>
      </c>
    </row>
    <row r="311" spans="1:12">
      <c r="A311">
        <v>310</v>
      </c>
      <c r="B311">
        <v>2023</v>
      </c>
      <c r="C311" t="s">
        <v>345</v>
      </c>
      <c r="D311" t="s">
        <v>31</v>
      </c>
      <c r="E311" t="s">
        <v>50</v>
      </c>
      <c r="F311" t="s">
        <v>27</v>
      </c>
      <c r="G311" t="s">
        <v>50</v>
      </c>
      <c r="H311" t="s">
        <v>28</v>
      </c>
      <c r="I311" t="s">
        <v>27</v>
      </c>
      <c r="J311" t="s">
        <v>39</v>
      </c>
      <c r="K311" t="s">
        <v>24</v>
      </c>
      <c r="L311">
        <v>1</v>
      </c>
    </row>
    <row r="312" spans="1:12">
      <c r="A312">
        <v>311</v>
      </c>
      <c r="B312">
        <v>2022</v>
      </c>
      <c r="C312" t="s">
        <v>346</v>
      </c>
      <c r="D312" t="s">
        <v>59</v>
      </c>
      <c r="E312" t="s">
        <v>50</v>
      </c>
      <c r="F312" t="s">
        <v>22</v>
      </c>
      <c r="G312" t="s">
        <v>50</v>
      </c>
      <c r="H312" t="s">
        <v>28</v>
      </c>
      <c r="I312" t="s">
        <v>50</v>
      </c>
      <c r="J312" t="s">
        <v>81</v>
      </c>
      <c r="K312" t="s">
        <v>18</v>
      </c>
      <c r="L312">
        <v>104</v>
      </c>
    </row>
    <row r="313" spans="1:12">
      <c r="A313">
        <v>312</v>
      </c>
      <c r="B313">
        <v>2022</v>
      </c>
      <c r="C313" t="s">
        <v>347</v>
      </c>
      <c r="D313" t="s">
        <v>26</v>
      </c>
      <c r="E313" t="s">
        <v>56</v>
      </c>
      <c r="F313" t="s">
        <v>14</v>
      </c>
      <c r="G313" t="s">
        <v>56</v>
      </c>
      <c r="H313" t="s">
        <v>16</v>
      </c>
      <c r="I313" t="s">
        <v>56</v>
      </c>
      <c r="J313" t="s">
        <v>17</v>
      </c>
      <c r="K313" t="s">
        <v>24</v>
      </c>
      <c r="L313">
        <v>2</v>
      </c>
    </row>
    <row r="314" spans="1:12">
      <c r="A314">
        <v>313</v>
      </c>
      <c r="B314">
        <v>2024</v>
      </c>
      <c r="C314" t="s">
        <v>348</v>
      </c>
      <c r="D314" t="s">
        <v>13</v>
      </c>
      <c r="E314" t="s">
        <v>50</v>
      </c>
      <c r="F314" t="s">
        <v>21</v>
      </c>
      <c r="G314" t="s">
        <v>21</v>
      </c>
      <c r="H314" t="s">
        <v>28</v>
      </c>
      <c r="I314" t="s">
        <v>21</v>
      </c>
      <c r="J314" t="s">
        <v>29</v>
      </c>
      <c r="K314" t="s">
        <v>18</v>
      </c>
      <c r="L314">
        <v>94</v>
      </c>
    </row>
    <row r="315" spans="1:12">
      <c r="A315">
        <v>314</v>
      </c>
      <c r="B315">
        <v>2024</v>
      </c>
      <c r="C315" t="s">
        <v>287</v>
      </c>
      <c r="D315" t="s">
        <v>59</v>
      </c>
      <c r="E315" t="s">
        <v>56</v>
      </c>
      <c r="F315" t="s">
        <v>27</v>
      </c>
      <c r="G315" t="s">
        <v>27</v>
      </c>
      <c r="H315" t="s">
        <v>16</v>
      </c>
      <c r="I315" t="s">
        <v>56</v>
      </c>
      <c r="J315" t="s">
        <v>41</v>
      </c>
      <c r="K315" t="s">
        <v>24</v>
      </c>
      <c r="L315">
        <v>5</v>
      </c>
    </row>
    <row r="316" spans="1:12">
      <c r="A316">
        <v>315</v>
      </c>
      <c r="B316">
        <v>2021</v>
      </c>
      <c r="C316" t="s">
        <v>349</v>
      </c>
      <c r="D316" t="s">
        <v>43</v>
      </c>
      <c r="E316" t="s">
        <v>50</v>
      </c>
      <c r="F316" t="s">
        <v>32</v>
      </c>
      <c r="G316" t="s">
        <v>50</v>
      </c>
      <c r="H316" t="s">
        <v>16</v>
      </c>
      <c r="I316" t="s">
        <v>32</v>
      </c>
      <c r="J316" t="s">
        <v>90</v>
      </c>
      <c r="K316" t="s">
        <v>18</v>
      </c>
      <c r="L316">
        <v>82</v>
      </c>
    </row>
    <row r="317" spans="1:12">
      <c r="A317">
        <v>316</v>
      </c>
      <c r="B317">
        <v>2024</v>
      </c>
      <c r="C317" t="s">
        <v>350</v>
      </c>
      <c r="D317" t="s">
        <v>31</v>
      </c>
      <c r="E317" t="s">
        <v>27</v>
      </c>
      <c r="F317" t="s">
        <v>56</v>
      </c>
      <c r="G317" t="s">
        <v>27</v>
      </c>
      <c r="H317" t="s">
        <v>16</v>
      </c>
      <c r="I317" t="s">
        <v>56</v>
      </c>
      <c r="J317" t="s">
        <v>81</v>
      </c>
      <c r="K317" t="s">
        <v>18</v>
      </c>
      <c r="L317">
        <v>82</v>
      </c>
    </row>
    <row r="318" spans="1:12">
      <c r="A318">
        <v>317</v>
      </c>
      <c r="B318">
        <v>2023</v>
      </c>
      <c r="C318" t="s">
        <v>351</v>
      </c>
      <c r="D318" t="s">
        <v>31</v>
      </c>
      <c r="E318" t="s">
        <v>47</v>
      </c>
      <c r="F318" t="s">
        <v>14</v>
      </c>
      <c r="G318" t="s">
        <v>14</v>
      </c>
      <c r="H318" t="s">
        <v>16</v>
      </c>
      <c r="I318" t="s">
        <v>47</v>
      </c>
      <c r="J318" t="s">
        <v>64</v>
      </c>
      <c r="K318" t="s">
        <v>24</v>
      </c>
      <c r="L318">
        <v>5</v>
      </c>
    </row>
    <row r="319" spans="1:12">
      <c r="A319">
        <v>318</v>
      </c>
      <c r="B319">
        <v>2021</v>
      </c>
      <c r="C319" t="s">
        <v>352</v>
      </c>
      <c r="D319" t="s">
        <v>26</v>
      </c>
      <c r="E319" t="s">
        <v>14</v>
      </c>
      <c r="F319" t="s">
        <v>32</v>
      </c>
      <c r="G319" t="s">
        <v>32</v>
      </c>
      <c r="H319" t="s">
        <v>28</v>
      </c>
      <c r="I319" t="s">
        <v>14</v>
      </c>
      <c r="J319" t="s">
        <v>74</v>
      </c>
      <c r="K319" t="s">
        <v>24</v>
      </c>
      <c r="L319">
        <v>7</v>
      </c>
    </row>
    <row r="320" spans="1:12">
      <c r="A320">
        <v>319</v>
      </c>
      <c r="B320">
        <v>2024</v>
      </c>
      <c r="C320" t="s">
        <v>353</v>
      </c>
      <c r="D320" t="s">
        <v>49</v>
      </c>
      <c r="E320" t="s">
        <v>21</v>
      </c>
      <c r="F320" t="s">
        <v>47</v>
      </c>
      <c r="G320" t="s">
        <v>21</v>
      </c>
      <c r="H320" t="s">
        <v>16</v>
      </c>
      <c r="I320" t="s">
        <v>47</v>
      </c>
      <c r="J320" t="s">
        <v>64</v>
      </c>
      <c r="K320" t="s">
        <v>18</v>
      </c>
      <c r="L320">
        <v>38</v>
      </c>
    </row>
    <row r="321" spans="1:12">
      <c r="A321">
        <v>320</v>
      </c>
      <c r="B321">
        <v>2023</v>
      </c>
      <c r="C321" t="s">
        <v>354</v>
      </c>
      <c r="D321" t="s">
        <v>31</v>
      </c>
      <c r="E321" t="s">
        <v>21</v>
      </c>
      <c r="F321" t="s">
        <v>50</v>
      </c>
      <c r="G321" t="s">
        <v>50</v>
      </c>
      <c r="H321" t="s">
        <v>16</v>
      </c>
      <c r="I321" t="s">
        <v>50</v>
      </c>
      <c r="J321" t="s">
        <v>39</v>
      </c>
      <c r="K321" t="s">
        <v>18</v>
      </c>
      <c r="L321">
        <v>71</v>
      </c>
    </row>
    <row r="322" spans="1:12">
      <c r="A322">
        <v>321</v>
      </c>
      <c r="B322">
        <v>2025</v>
      </c>
      <c r="C322" t="s">
        <v>355</v>
      </c>
      <c r="D322" t="s">
        <v>49</v>
      </c>
      <c r="E322" t="s">
        <v>50</v>
      </c>
      <c r="F322" t="s">
        <v>47</v>
      </c>
      <c r="G322" t="s">
        <v>50</v>
      </c>
      <c r="H322" t="s">
        <v>28</v>
      </c>
      <c r="I322" t="s">
        <v>50</v>
      </c>
      <c r="J322" t="s">
        <v>90</v>
      </c>
      <c r="K322" t="s">
        <v>24</v>
      </c>
      <c r="L322">
        <v>3</v>
      </c>
    </row>
    <row r="323" spans="1:12">
      <c r="A323">
        <v>322</v>
      </c>
      <c r="B323">
        <v>2023</v>
      </c>
      <c r="C323" t="s">
        <v>356</v>
      </c>
      <c r="D323" t="s">
        <v>49</v>
      </c>
      <c r="E323" t="s">
        <v>22</v>
      </c>
      <c r="F323" t="s">
        <v>50</v>
      </c>
      <c r="G323" t="s">
        <v>50</v>
      </c>
      <c r="H323" t="s">
        <v>28</v>
      </c>
      <c r="I323" t="s">
        <v>50</v>
      </c>
      <c r="J323" t="s">
        <v>53</v>
      </c>
      <c r="K323" t="s">
        <v>18</v>
      </c>
      <c r="L323">
        <v>13</v>
      </c>
    </row>
    <row r="324" spans="1:12">
      <c r="A324">
        <v>323</v>
      </c>
      <c r="B324">
        <v>2025</v>
      </c>
      <c r="C324" t="s">
        <v>357</v>
      </c>
      <c r="D324" t="s">
        <v>35</v>
      </c>
      <c r="E324" t="s">
        <v>36</v>
      </c>
      <c r="F324" t="s">
        <v>47</v>
      </c>
      <c r="G324" t="s">
        <v>36</v>
      </c>
      <c r="H324" t="s">
        <v>16</v>
      </c>
      <c r="I324" t="s">
        <v>47</v>
      </c>
      <c r="J324" t="s">
        <v>87</v>
      </c>
      <c r="K324" t="s">
        <v>24</v>
      </c>
      <c r="L324">
        <v>2</v>
      </c>
    </row>
    <row r="325" spans="1:12">
      <c r="A325">
        <v>324</v>
      </c>
      <c r="B325">
        <v>2025</v>
      </c>
      <c r="C325" t="s">
        <v>358</v>
      </c>
      <c r="D325" t="s">
        <v>20</v>
      </c>
      <c r="E325" t="s">
        <v>47</v>
      </c>
      <c r="F325" t="s">
        <v>22</v>
      </c>
      <c r="G325" t="s">
        <v>47</v>
      </c>
      <c r="H325" t="s">
        <v>16</v>
      </c>
      <c r="I325" t="s">
        <v>47</v>
      </c>
      <c r="J325" t="s">
        <v>39</v>
      </c>
      <c r="K325" t="s">
        <v>24</v>
      </c>
      <c r="L325">
        <v>2</v>
      </c>
    </row>
    <row r="326" spans="1:12">
      <c r="A326">
        <v>325</v>
      </c>
      <c r="B326">
        <v>2021</v>
      </c>
      <c r="C326" t="s">
        <v>359</v>
      </c>
      <c r="D326" t="s">
        <v>26</v>
      </c>
      <c r="E326" t="s">
        <v>15</v>
      </c>
      <c r="F326" t="s">
        <v>32</v>
      </c>
      <c r="G326" t="s">
        <v>32</v>
      </c>
      <c r="H326" t="s">
        <v>28</v>
      </c>
      <c r="I326" t="s">
        <v>32</v>
      </c>
      <c r="J326" t="s">
        <v>64</v>
      </c>
      <c r="K326" t="s">
        <v>24</v>
      </c>
      <c r="L326">
        <v>3</v>
      </c>
    </row>
    <row r="327" spans="1:12">
      <c r="A327">
        <v>326</v>
      </c>
      <c r="B327">
        <v>2023</v>
      </c>
      <c r="C327" t="s">
        <v>360</v>
      </c>
      <c r="D327" t="s">
        <v>35</v>
      </c>
      <c r="E327" t="s">
        <v>27</v>
      </c>
      <c r="F327" t="s">
        <v>47</v>
      </c>
      <c r="G327" t="s">
        <v>27</v>
      </c>
      <c r="H327" t="s">
        <v>28</v>
      </c>
      <c r="I327" t="s">
        <v>47</v>
      </c>
      <c r="J327" t="s">
        <v>76</v>
      </c>
      <c r="K327" t="s">
        <v>24</v>
      </c>
      <c r="L327">
        <v>4</v>
      </c>
    </row>
    <row r="328" spans="1:12">
      <c r="A328">
        <v>327</v>
      </c>
      <c r="B328">
        <v>2021</v>
      </c>
      <c r="C328" t="s">
        <v>361</v>
      </c>
      <c r="D328" t="s">
        <v>49</v>
      </c>
      <c r="E328" t="s">
        <v>27</v>
      </c>
      <c r="F328" t="s">
        <v>21</v>
      </c>
      <c r="G328" t="s">
        <v>27</v>
      </c>
      <c r="H328" t="s">
        <v>28</v>
      </c>
      <c r="I328" t="s">
        <v>21</v>
      </c>
      <c r="J328" t="s">
        <v>62</v>
      </c>
      <c r="K328" t="s">
        <v>18</v>
      </c>
      <c r="L328">
        <v>71</v>
      </c>
    </row>
    <row r="329" spans="1:12">
      <c r="A329">
        <v>328</v>
      </c>
      <c r="B329">
        <v>2024</v>
      </c>
      <c r="C329" t="s">
        <v>197</v>
      </c>
      <c r="D329" t="s">
        <v>49</v>
      </c>
      <c r="E329" t="s">
        <v>36</v>
      </c>
      <c r="F329" t="s">
        <v>32</v>
      </c>
      <c r="G329" t="s">
        <v>32</v>
      </c>
      <c r="H329" t="s">
        <v>16</v>
      </c>
      <c r="I329" t="s">
        <v>32</v>
      </c>
      <c r="J329" t="s">
        <v>53</v>
      </c>
      <c r="K329" t="s">
        <v>18</v>
      </c>
      <c r="L329">
        <v>51</v>
      </c>
    </row>
    <row r="330" spans="1:12">
      <c r="A330">
        <v>329</v>
      </c>
      <c r="B330">
        <v>2025</v>
      </c>
      <c r="C330" t="s">
        <v>362</v>
      </c>
      <c r="D330" t="s">
        <v>38</v>
      </c>
      <c r="E330" t="s">
        <v>36</v>
      </c>
      <c r="F330" t="s">
        <v>27</v>
      </c>
      <c r="G330" t="s">
        <v>36</v>
      </c>
      <c r="H330" t="s">
        <v>28</v>
      </c>
      <c r="I330" t="s">
        <v>36</v>
      </c>
      <c r="J330" t="s">
        <v>39</v>
      </c>
      <c r="K330" t="s">
        <v>18</v>
      </c>
      <c r="L330">
        <v>104</v>
      </c>
    </row>
    <row r="331" spans="1:12">
      <c r="A331">
        <v>330</v>
      </c>
      <c r="B331">
        <v>2021</v>
      </c>
      <c r="C331" t="s">
        <v>363</v>
      </c>
      <c r="D331" t="s">
        <v>31</v>
      </c>
      <c r="E331" t="s">
        <v>32</v>
      </c>
      <c r="F331" t="s">
        <v>21</v>
      </c>
      <c r="G331" t="s">
        <v>21</v>
      </c>
      <c r="H331" t="s">
        <v>16</v>
      </c>
      <c r="I331" t="s">
        <v>32</v>
      </c>
      <c r="J331" t="s">
        <v>90</v>
      </c>
      <c r="K331" t="s">
        <v>24</v>
      </c>
      <c r="L331">
        <v>6</v>
      </c>
    </row>
    <row r="332" spans="1:12">
      <c r="A332">
        <v>331</v>
      </c>
      <c r="B332">
        <v>2024</v>
      </c>
      <c r="C332" t="s">
        <v>364</v>
      </c>
      <c r="D332" t="s">
        <v>13</v>
      </c>
      <c r="E332" t="s">
        <v>36</v>
      </c>
      <c r="F332" t="s">
        <v>32</v>
      </c>
      <c r="G332" t="s">
        <v>32</v>
      </c>
      <c r="H332" t="s">
        <v>28</v>
      </c>
      <c r="I332" t="s">
        <v>32</v>
      </c>
      <c r="J332" t="s">
        <v>87</v>
      </c>
      <c r="K332" t="s">
        <v>24</v>
      </c>
      <c r="L332">
        <v>2</v>
      </c>
    </row>
    <row r="333" spans="1:12">
      <c r="A333">
        <v>332</v>
      </c>
      <c r="B333">
        <v>2022</v>
      </c>
      <c r="C333" t="s">
        <v>365</v>
      </c>
      <c r="D333" t="s">
        <v>35</v>
      </c>
      <c r="E333" t="s">
        <v>50</v>
      </c>
      <c r="F333" t="s">
        <v>21</v>
      </c>
      <c r="G333" t="s">
        <v>50</v>
      </c>
      <c r="H333" t="s">
        <v>16</v>
      </c>
      <c r="I333" t="s">
        <v>21</v>
      </c>
      <c r="J333" t="s">
        <v>23</v>
      </c>
      <c r="K333" t="s">
        <v>24</v>
      </c>
      <c r="L333">
        <v>7</v>
      </c>
    </row>
    <row r="334" spans="1:12">
      <c r="A334">
        <v>333</v>
      </c>
      <c r="B334">
        <v>2024</v>
      </c>
      <c r="C334" t="s">
        <v>366</v>
      </c>
      <c r="D334" t="s">
        <v>43</v>
      </c>
      <c r="E334" t="s">
        <v>50</v>
      </c>
      <c r="F334" t="s">
        <v>47</v>
      </c>
      <c r="G334" t="s">
        <v>50</v>
      </c>
      <c r="H334" t="s">
        <v>16</v>
      </c>
      <c r="I334" t="s">
        <v>47</v>
      </c>
      <c r="J334" t="s">
        <v>41</v>
      </c>
      <c r="K334" t="s">
        <v>18</v>
      </c>
      <c r="L334">
        <v>80</v>
      </c>
    </row>
    <row r="335" spans="1:12">
      <c r="A335">
        <v>334</v>
      </c>
      <c r="B335">
        <v>2024</v>
      </c>
      <c r="C335" t="s">
        <v>367</v>
      </c>
      <c r="D335" t="s">
        <v>49</v>
      </c>
      <c r="E335" t="s">
        <v>14</v>
      </c>
      <c r="F335" t="s">
        <v>32</v>
      </c>
      <c r="G335" t="s">
        <v>32</v>
      </c>
      <c r="H335" t="s">
        <v>16</v>
      </c>
      <c r="I335" t="s">
        <v>14</v>
      </c>
      <c r="J335" t="s">
        <v>116</v>
      </c>
      <c r="K335" t="s">
        <v>24</v>
      </c>
      <c r="L335">
        <v>6</v>
      </c>
    </row>
    <row r="336" spans="1:12">
      <c r="A336">
        <v>335</v>
      </c>
      <c r="B336">
        <v>2023</v>
      </c>
      <c r="C336" t="s">
        <v>368</v>
      </c>
      <c r="D336" t="s">
        <v>26</v>
      </c>
      <c r="E336" t="s">
        <v>15</v>
      </c>
      <c r="F336" t="s">
        <v>50</v>
      </c>
      <c r="G336" t="s">
        <v>50</v>
      </c>
      <c r="H336" t="s">
        <v>16</v>
      </c>
      <c r="I336" t="s">
        <v>15</v>
      </c>
      <c r="J336" t="s">
        <v>29</v>
      </c>
      <c r="K336" t="s">
        <v>24</v>
      </c>
      <c r="L336">
        <v>8</v>
      </c>
    </row>
    <row r="337" spans="1:12">
      <c r="A337">
        <v>336</v>
      </c>
      <c r="B337">
        <v>2024</v>
      </c>
      <c r="C337" t="s">
        <v>369</v>
      </c>
      <c r="D337" t="s">
        <v>26</v>
      </c>
      <c r="E337" t="s">
        <v>50</v>
      </c>
      <c r="F337" t="s">
        <v>21</v>
      </c>
      <c r="G337" t="s">
        <v>50</v>
      </c>
      <c r="H337" t="s">
        <v>28</v>
      </c>
      <c r="I337" t="s">
        <v>50</v>
      </c>
      <c r="J337" t="s">
        <v>74</v>
      </c>
      <c r="K337" t="s">
        <v>24</v>
      </c>
      <c r="L337">
        <v>9</v>
      </c>
    </row>
    <row r="338" spans="1:12">
      <c r="A338">
        <v>337</v>
      </c>
      <c r="B338">
        <v>2021</v>
      </c>
      <c r="C338" t="s">
        <v>370</v>
      </c>
      <c r="D338" t="s">
        <v>38</v>
      </c>
      <c r="E338" t="s">
        <v>36</v>
      </c>
      <c r="F338" t="s">
        <v>27</v>
      </c>
      <c r="G338" t="s">
        <v>36</v>
      </c>
      <c r="H338" t="s">
        <v>28</v>
      </c>
      <c r="I338" t="s">
        <v>27</v>
      </c>
      <c r="J338" t="s">
        <v>29</v>
      </c>
      <c r="K338" t="s">
        <v>18</v>
      </c>
      <c r="L338">
        <v>23</v>
      </c>
    </row>
    <row r="339" spans="1:12">
      <c r="A339">
        <v>338</v>
      </c>
      <c r="B339">
        <v>2022</v>
      </c>
      <c r="C339" t="s">
        <v>371</v>
      </c>
      <c r="D339" t="s">
        <v>26</v>
      </c>
      <c r="E339" t="s">
        <v>14</v>
      </c>
      <c r="F339" t="s">
        <v>22</v>
      </c>
      <c r="G339" t="s">
        <v>14</v>
      </c>
      <c r="H339" t="s">
        <v>28</v>
      </c>
      <c r="I339" t="s">
        <v>14</v>
      </c>
      <c r="J339" t="s">
        <v>57</v>
      </c>
      <c r="K339" t="s">
        <v>18</v>
      </c>
      <c r="L339">
        <v>36</v>
      </c>
    </row>
    <row r="340" spans="1:12">
      <c r="A340">
        <v>339</v>
      </c>
      <c r="B340">
        <v>2024</v>
      </c>
      <c r="C340" t="s">
        <v>287</v>
      </c>
      <c r="D340" t="s">
        <v>20</v>
      </c>
      <c r="E340" t="s">
        <v>36</v>
      </c>
      <c r="F340" t="s">
        <v>32</v>
      </c>
      <c r="G340" t="s">
        <v>36</v>
      </c>
      <c r="H340" t="s">
        <v>16</v>
      </c>
      <c r="I340" t="s">
        <v>36</v>
      </c>
      <c r="J340" t="s">
        <v>57</v>
      </c>
      <c r="K340" t="s">
        <v>24</v>
      </c>
      <c r="L340">
        <v>10</v>
      </c>
    </row>
    <row r="341" spans="1:12">
      <c r="A341">
        <v>340</v>
      </c>
      <c r="B341">
        <v>2024</v>
      </c>
      <c r="C341" t="s">
        <v>372</v>
      </c>
      <c r="D341" t="s">
        <v>49</v>
      </c>
      <c r="E341" t="s">
        <v>50</v>
      </c>
      <c r="F341" t="s">
        <v>36</v>
      </c>
      <c r="G341" t="s">
        <v>36</v>
      </c>
      <c r="H341" t="s">
        <v>28</v>
      </c>
      <c r="I341" t="s">
        <v>50</v>
      </c>
      <c r="J341" t="s">
        <v>44</v>
      </c>
      <c r="K341" t="s">
        <v>18</v>
      </c>
      <c r="L341">
        <v>37</v>
      </c>
    </row>
    <row r="342" spans="1:12">
      <c r="A342">
        <v>341</v>
      </c>
      <c r="B342">
        <v>2021</v>
      </c>
      <c r="C342" t="s">
        <v>373</v>
      </c>
      <c r="D342" t="s">
        <v>49</v>
      </c>
      <c r="E342" t="s">
        <v>27</v>
      </c>
      <c r="F342" t="s">
        <v>22</v>
      </c>
      <c r="G342" t="s">
        <v>27</v>
      </c>
      <c r="H342" t="s">
        <v>16</v>
      </c>
      <c r="I342" t="s">
        <v>27</v>
      </c>
      <c r="J342" t="s">
        <v>44</v>
      </c>
      <c r="K342" t="s">
        <v>24</v>
      </c>
      <c r="L342">
        <v>9</v>
      </c>
    </row>
    <row r="343" spans="1:12">
      <c r="A343">
        <v>342</v>
      </c>
      <c r="B343">
        <v>2021</v>
      </c>
      <c r="C343" t="s">
        <v>374</v>
      </c>
      <c r="D343" t="s">
        <v>13</v>
      </c>
      <c r="E343" t="s">
        <v>47</v>
      </c>
      <c r="F343" t="s">
        <v>27</v>
      </c>
      <c r="G343" t="s">
        <v>47</v>
      </c>
      <c r="H343" t="s">
        <v>16</v>
      </c>
      <c r="I343" t="s">
        <v>47</v>
      </c>
      <c r="J343" t="s">
        <v>44</v>
      </c>
      <c r="K343" t="s">
        <v>24</v>
      </c>
      <c r="L343">
        <v>5</v>
      </c>
    </row>
    <row r="344" spans="1:12">
      <c r="A344">
        <v>343</v>
      </c>
      <c r="B344">
        <v>2023</v>
      </c>
      <c r="C344" t="s">
        <v>375</v>
      </c>
      <c r="D344" t="s">
        <v>31</v>
      </c>
      <c r="E344" t="s">
        <v>47</v>
      </c>
      <c r="F344" t="s">
        <v>15</v>
      </c>
      <c r="G344" t="s">
        <v>47</v>
      </c>
      <c r="H344" t="s">
        <v>28</v>
      </c>
      <c r="I344" t="s">
        <v>15</v>
      </c>
      <c r="J344" t="s">
        <v>152</v>
      </c>
      <c r="K344" t="s">
        <v>24</v>
      </c>
      <c r="L344">
        <v>10</v>
      </c>
    </row>
    <row r="345" spans="1:12">
      <c r="A345">
        <v>344</v>
      </c>
      <c r="B345">
        <v>2025</v>
      </c>
      <c r="C345" t="s">
        <v>297</v>
      </c>
      <c r="D345" t="s">
        <v>35</v>
      </c>
      <c r="E345" t="s">
        <v>56</v>
      </c>
      <c r="F345" t="s">
        <v>36</v>
      </c>
      <c r="G345" t="s">
        <v>36</v>
      </c>
      <c r="H345" t="s">
        <v>28</v>
      </c>
      <c r="I345" t="s">
        <v>56</v>
      </c>
      <c r="J345" t="s">
        <v>116</v>
      </c>
      <c r="K345" t="s">
        <v>18</v>
      </c>
      <c r="L345">
        <v>44</v>
      </c>
    </row>
    <row r="346" spans="1:12">
      <c r="A346">
        <v>345</v>
      </c>
      <c r="B346">
        <v>2023</v>
      </c>
      <c r="C346" t="s">
        <v>376</v>
      </c>
      <c r="D346" t="s">
        <v>49</v>
      </c>
      <c r="E346" t="s">
        <v>15</v>
      </c>
      <c r="F346" t="s">
        <v>50</v>
      </c>
      <c r="G346" t="s">
        <v>50</v>
      </c>
      <c r="H346" t="s">
        <v>16</v>
      </c>
      <c r="I346" t="s">
        <v>15</v>
      </c>
      <c r="J346" t="s">
        <v>152</v>
      </c>
      <c r="K346" t="s">
        <v>18</v>
      </c>
      <c r="L346">
        <v>116</v>
      </c>
    </row>
    <row r="347" spans="1:12">
      <c r="A347">
        <v>346</v>
      </c>
      <c r="B347">
        <v>2025</v>
      </c>
      <c r="C347" t="s">
        <v>377</v>
      </c>
      <c r="D347" t="s">
        <v>13</v>
      </c>
      <c r="E347" t="s">
        <v>32</v>
      </c>
      <c r="F347" t="s">
        <v>56</v>
      </c>
      <c r="G347" t="s">
        <v>32</v>
      </c>
      <c r="H347" t="s">
        <v>16</v>
      </c>
      <c r="I347" t="s">
        <v>56</v>
      </c>
      <c r="J347" t="s">
        <v>53</v>
      </c>
      <c r="K347" t="s">
        <v>24</v>
      </c>
      <c r="L347">
        <v>7</v>
      </c>
    </row>
    <row r="348" spans="1:12">
      <c r="A348">
        <v>347</v>
      </c>
      <c r="B348">
        <v>2021</v>
      </c>
      <c r="C348" t="s">
        <v>378</v>
      </c>
      <c r="D348" t="s">
        <v>46</v>
      </c>
      <c r="E348" t="s">
        <v>50</v>
      </c>
      <c r="F348" t="s">
        <v>22</v>
      </c>
      <c r="G348" t="s">
        <v>22</v>
      </c>
      <c r="H348" t="s">
        <v>16</v>
      </c>
      <c r="I348" t="s">
        <v>22</v>
      </c>
      <c r="J348" t="s">
        <v>57</v>
      </c>
      <c r="K348" t="s">
        <v>24</v>
      </c>
      <c r="L348">
        <v>3</v>
      </c>
    </row>
    <row r="349" spans="1:12">
      <c r="A349">
        <v>348</v>
      </c>
      <c r="B349">
        <v>2023</v>
      </c>
      <c r="C349" t="s">
        <v>379</v>
      </c>
      <c r="D349" t="s">
        <v>26</v>
      </c>
      <c r="E349" t="s">
        <v>21</v>
      </c>
      <c r="F349" t="s">
        <v>47</v>
      </c>
      <c r="G349" t="s">
        <v>21</v>
      </c>
      <c r="H349" t="s">
        <v>28</v>
      </c>
      <c r="I349" t="s">
        <v>21</v>
      </c>
      <c r="J349" t="s">
        <v>81</v>
      </c>
      <c r="K349" t="s">
        <v>18</v>
      </c>
      <c r="L349">
        <v>29</v>
      </c>
    </row>
    <row r="350" spans="1:12">
      <c r="A350">
        <v>349</v>
      </c>
      <c r="B350">
        <v>2023</v>
      </c>
      <c r="C350" t="s">
        <v>380</v>
      </c>
      <c r="D350" t="s">
        <v>49</v>
      </c>
      <c r="E350" t="s">
        <v>32</v>
      </c>
      <c r="F350" t="s">
        <v>56</v>
      </c>
      <c r="G350" t="s">
        <v>56</v>
      </c>
      <c r="H350" t="s">
        <v>28</v>
      </c>
      <c r="I350" t="s">
        <v>56</v>
      </c>
      <c r="J350" t="s">
        <v>76</v>
      </c>
      <c r="K350" t="s">
        <v>18</v>
      </c>
      <c r="L350">
        <v>61</v>
      </c>
    </row>
    <row r="351" spans="1:12">
      <c r="A351">
        <v>350</v>
      </c>
      <c r="B351">
        <v>2025</v>
      </c>
      <c r="C351" t="s">
        <v>381</v>
      </c>
      <c r="D351" t="s">
        <v>49</v>
      </c>
      <c r="E351" t="s">
        <v>50</v>
      </c>
      <c r="F351" t="s">
        <v>21</v>
      </c>
      <c r="G351" t="s">
        <v>21</v>
      </c>
      <c r="H351" t="s">
        <v>16</v>
      </c>
      <c r="I351" t="s">
        <v>50</v>
      </c>
      <c r="J351" t="s">
        <v>41</v>
      </c>
      <c r="K351" t="s">
        <v>24</v>
      </c>
      <c r="L351">
        <v>7</v>
      </c>
    </row>
    <row r="352" spans="1:12">
      <c r="A352">
        <v>351</v>
      </c>
      <c r="B352">
        <v>2022</v>
      </c>
      <c r="C352" t="s">
        <v>382</v>
      </c>
      <c r="D352" t="s">
        <v>31</v>
      </c>
      <c r="E352" t="s">
        <v>27</v>
      </c>
      <c r="F352" t="s">
        <v>22</v>
      </c>
      <c r="G352" t="s">
        <v>22</v>
      </c>
      <c r="H352" t="s">
        <v>28</v>
      </c>
      <c r="I352" t="s">
        <v>22</v>
      </c>
      <c r="J352" t="s">
        <v>29</v>
      </c>
      <c r="K352" t="s">
        <v>24</v>
      </c>
      <c r="L352">
        <v>3</v>
      </c>
    </row>
    <row r="353" spans="1:12">
      <c r="A353">
        <v>352</v>
      </c>
      <c r="B353">
        <v>2023</v>
      </c>
      <c r="C353" t="s">
        <v>383</v>
      </c>
      <c r="D353" t="s">
        <v>59</v>
      </c>
      <c r="E353" t="s">
        <v>27</v>
      </c>
      <c r="F353" t="s">
        <v>56</v>
      </c>
      <c r="G353" t="s">
        <v>27</v>
      </c>
      <c r="H353" t="s">
        <v>16</v>
      </c>
      <c r="I353" t="s">
        <v>56</v>
      </c>
      <c r="J353" t="s">
        <v>44</v>
      </c>
      <c r="K353" t="s">
        <v>18</v>
      </c>
      <c r="L353">
        <v>98</v>
      </c>
    </row>
    <row r="354" spans="1:12">
      <c r="A354">
        <v>353</v>
      </c>
      <c r="B354">
        <v>2022</v>
      </c>
      <c r="C354" t="s">
        <v>384</v>
      </c>
      <c r="D354" t="s">
        <v>13</v>
      </c>
      <c r="E354" t="s">
        <v>47</v>
      </c>
      <c r="F354" t="s">
        <v>21</v>
      </c>
      <c r="G354" t="s">
        <v>47</v>
      </c>
      <c r="H354" t="s">
        <v>28</v>
      </c>
      <c r="I354" t="s">
        <v>21</v>
      </c>
      <c r="J354" t="s">
        <v>41</v>
      </c>
      <c r="K354" t="s">
        <v>24</v>
      </c>
      <c r="L354">
        <v>8</v>
      </c>
    </row>
    <row r="355" spans="1:12">
      <c r="A355">
        <v>354</v>
      </c>
      <c r="B355">
        <v>2021</v>
      </c>
      <c r="C355" t="s">
        <v>385</v>
      </c>
      <c r="D355" t="s">
        <v>49</v>
      </c>
      <c r="E355" t="s">
        <v>36</v>
      </c>
      <c r="F355" t="s">
        <v>22</v>
      </c>
      <c r="G355" t="s">
        <v>22</v>
      </c>
      <c r="H355" t="s">
        <v>16</v>
      </c>
      <c r="I355" t="s">
        <v>22</v>
      </c>
      <c r="J355" t="s">
        <v>152</v>
      </c>
      <c r="K355" t="s">
        <v>18</v>
      </c>
      <c r="L355">
        <v>3</v>
      </c>
    </row>
    <row r="356" spans="1:12">
      <c r="A356">
        <v>355</v>
      </c>
      <c r="B356">
        <v>2022</v>
      </c>
      <c r="C356" t="s">
        <v>357</v>
      </c>
      <c r="D356" t="s">
        <v>31</v>
      </c>
      <c r="E356" t="s">
        <v>22</v>
      </c>
      <c r="F356" t="s">
        <v>56</v>
      </c>
      <c r="G356" t="s">
        <v>56</v>
      </c>
      <c r="H356" t="s">
        <v>16</v>
      </c>
      <c r="I356" t="s">
        <v>22</v>
      </c>
      <c r="J356" t="s">
        <v>41</v>
      </c>
      <c r="K356" t="s">
        <v>24</v>
      </c>
      <c r="L356">
        <v>3</v>
      </c>
    </row>
    <row r="357" spans="1:12">
      <c r="A357">
        <v>356</v>
      </c>
      <c r="B357">
        <v>2021</v>
      </c>
      <c r="C357" t="s">
        <v>386</v>
      </c>
      <c r="D357" t="s">
        <v>26</v>
      </c>
      <c r="E357" t="s">
        <v>15</v>
      </c>
      <c r="F357" t="s">
        <v>50</v>
      </c>
      <c r="G357" t="s">
        <v>50</v>
      </c>
      <c r="H357" t="s">
        <v>28</v>
      </c>
      <c r="I357" t="s">
        <v>50</v>
      </c>
      <c r="J357" t="s">
        <v>29</v>
      </c>
      <c r="K357" t="s">
        <v>24</v>
      </c>
      <c r="L357">
        <v>8</v>
      </c>
    </row>
    <row r="358" spans="1:12">
      <c r="A358">
        <v>357</v>
      </c>
      <c r="B358">
        <v>2022</v>
      </c>
      <c r="C358" t="s">
        <v>387</v>
      </c>
      <c r="D358" t="s">
        <v>49</v>
      </c>
      <c r="E358" t="s">
        <v>27</v>
      </c>
      <c r="F358" t="s">
        <v>32</v>
      </c>
      <c r="G358" t="s">
        <v>27</v>
      </c>
      <c r="H358" t="s">
        <v>16</v>
      </c>
      <c r="I358" t="s">
        <v>27</v>
      </c>
      <c r="J358" t="s">
        <v>29</v>
      </c>
      <c r="K358" t="s">
        <v>18</v>
      </c>
      <c r="L358">
        <v>94</v>
      </c>
    </row>
    <row r="359" spans="1:12">
      <c r="A359">
        <v>358</v>
      </c>
      <c r="B359">
        <v>2025</v>
      </c>
      <c r="C359" t="s">
        <v>388</v>
      </c>
      <c r="D359" t="s">
        <v>49</v>
      </c>
      <c r="E359" t="s">
        <v>27</v>
      </c>
      <c r="F359" t="s">
        <v>21</v>
      </c>
      <c r="G359" t="s">
        <v>21</v>
      </c>
      <c r="H359" t="s">
        <v>16</v>
      </c>
      <c r="I359" t="s">
        <v>21</v>
      </c>
      <c r="J359" t="s">
        <v>44</v>
      </c>
      <c r="K359" t="s">
        <v>18</v>
      </c>
      <c r="L359">
        <v>77</v>
      </c>
    </row>
    <row r="360" spans="1:12">
      <c r="A360">
        <v>359</v>
      </c>
      <c r="B360">
        <v>2021</v>
      </c>
      <c r="C360" t="s">
        <v>389</v>
      </c>
      <c r="D360" t="s">
        <v>35</v>
      </c>
      <c r="E360" t="s">
        <v>14</v>
      </c>
      <c r="F360" t="s">
        <v>50</v>
      </c>
      <c r="G360" t="s">
        <v>14</v>
      </c>
      <c r="H360" t="s">
        <v>28</v>
      </c>
      <c r="I360" t="s">
        <v>50</v>
      </c>
      <c r="J360" t="s">
        <v>41</v>
      </c>
      <c r="K360" t="s">
        <v>18</v>
      </c>
      <c r="L360">
        <v>71</v>
      </c>
    </row>
    <row r="361" spans="1:12">
      <c r="A361">
        <v>360</v>
      </c>
      <c r="B361">
        <v>2022</v>
      </c>
      <c r="C361" t="s">
        <v>334</v>
      </c>
      <c r="D361" t="s">
        <v>43</v>
      </c>
      <c r="E361" t="s">
        <v>22</v>
      </c>
      <c r="F361" t="s">
        <v>14</v>
      </c>
      <c r="G361" t="s">
        <v>14</v>
      </c>
      <c r="H361" t="s">
        <v>28</v>
      </c>
      <c r="I361" t="s">
        <v>22</v>
      </c>
      <c r="J361" t="s">
        <v>152</v>
      </c>
      <c r="K361" t="s">
        <v>24</v>
      </c>
      <c r="L361">
        <v>10</v>
      </c>
    </row>
    <row r="362" spans="1:12">
      <c r="A362">
        <v>361</v>
      </c>
      <c r="B362">
        <v>2022</v>
      </c>
      <c r="C362" t="s">
        <v>390</v>
      </c>
      <c r="D362" t="s">
        <v>43</v>
      </c>
      <c r="E362" t="s">
        <v>32</v>
      </c>
      <c r="F362" t="s">
        <v>21</v>
      </c>
      <c r="G362" t="s">
        <v>32</v>
      </c>
      <c r="H362" t="s">
        <v>28</v>
      </c>
      <c r="I362" t="s">
        <v>32</v>
      </c>
      <c r="J362" t="s">
        <v>17</v>
      </c>
      <c r="K362" t="s">
        <v>24</v>
      </c>
      <c r="L362">
        <v>4</v>
      </c>
    </row>
    <row r="363" spans="1:12">
      <c r="A363">
        <v>362</v>
      </c>
      <c r="B363">
        <v>2023</v>
      </c>
      <c r="C363" t="s">
        <v>391</v>
      </c>
      <c r="D363" t="s">
        <v>20</v>
      </c>
      <c r="E363" t="s">
        <v>36</v>
      </c>
      <c r="F363" t="s">
        <v>22</v>
      </c>
      <c r="G363" t="s">
        <v>22</v>
      </c>
      <c r="H363" t="s">
        <v>28</v>
      </c>
      <c r="I363" t="s">
        <v>22</v>
      </c>
      <c r="J363" t="s">
        <v>39</v>
      </c>
      <c r="K363" t="s">
        <v>18</v>
      </c>
      <c r="L363">
        <v>71</v>
      </c>
    </row>
    <row r="364" spans="1:12">
      <c r="A364">
        <v>363</v>
      </c>
      <c r="B364">
        <v>2024</v>
      </c>
      <c r="C364" t="s">
        <v>392</v>
      </c>
      <c r="D364" t="s">
        <v>31</v>
      </c>
      <c r="E364" t="s">
        <v>56</v>
      </c>
      <c r="F364" t="s">
        <v>22</v>
      </c>
      <c r="G364" t="s">
        <v>56</v>
      </c>
      <c r="H364" t="s">
        <v>16</v>
      </c>
      <c r="I364" t="s">
        <v>56</v>
      </c>
      <c r="J364" t="s">
        <v>17</v>
      </c>
      <c r="K364" t="s">
        <v>24</v>
      </c>
      <c r="L364">
        <v>3</v>
      </c>
    </row>
    <row r="365" spans="1:12">
      <c r="A365">
        <v>364</v>
      </c>
      <c r="B365">
        <v>2025</v>
      </c>
      <c r="C365" t="s">
        <v>393</v>
      </c>
      <c r="D365" t="s">
        <v>49</v>
      </c>
      <c r="E365" t="s">
        <v>21</v>
      </c>
      <c r="F365" t="s">
        <v>50</v>
      </c>
      <c r="G365" t="s">
        <v>50</v>
      </c>
      <c r="H365" t="s">
        <v>16</v>
      </c>
      <c r="I365" t="s">
        <v>50</v>
      </c>
      <c r="J365" t="s">
        <v>53</v>
      </c>
      <c r="K365" t="s">
        <v>24</v>
      </c>
      <c r="L365">
        <v>8</v>
      </c>
    </row>
    <row r="366" spans="1:12">
      <c r="A366">
        <v>365</v>
      </c>
      <c r="B366">
        <v>2022</v>
      </c>
      <c r="C366" t="s">
        <v>394</v>
      </c>
      <c r="D366" t="s">
        <v>49</v>
      </c>
      <c r="E366" t="s">
        <v>14</v>
      </c>
      <c r="F366" t="s">
        <v>15</v>
      </c>
      <c r="G366" t="s">
        <v>15</v>
      </c>
      <c r="H366" t="s">
        <v>28</v>
      </c>
      <c r="I366" t="s">
        <v>15</v>
      </c>
      <c r="J366" t="s">
        <v>17</v>
      </c>
      <c r="K366" t="s">
        <v>18</v>
      </c>
      <c r="L366">
        <v>109</v>
      </c>
    </row>
    <row r="367" spans="1:12">
      <c r="A367">
        <v>366</v>
      </c>
      <c r="B367">
        <v>2022</v>
      </c>
      <c r="C367" t="s">
        <v>288</v>
      </c>
      <c r="D367" t="s">
        <v>59</v>
      </c>
      <c r="E367" t="s">
        <v>27</v>
      </c>
      <c r="F367" t="s">
        <v>56</v>
      </c>
      <c r="G367" t="s">
        <v>56</v>
      </c>
      <c r="H367" t="s">
        <v>28</v>
      </c>
      <c r="I367" t="s">
        <v>56</v>
      </c>
      <c r="J367" t="s">
        <v>64</v>
      </c>
      <c r="K367" t="s">
        <v>24</v>
      </c>
      <c r="L367">
        <v>6</v>
      </c>
    </row>
    <row r="368" spans="1:12">
      <c r="A368">
        <v>367</v>
      </c>
      <c r="B368">
        <v>2024</v>
      </c>
      <c r="C368" t="s">
        <v>395</v>
      </c>
      <c r="D368" t="s">
        <v>59</v>
      </c>
      <c r="E368" t="s">
        <v>32</v>
      </c>
      <c r="F368" t="s">
        <v>47</v>
      </c>
      <c r="G368" t="s">
        <v>47</v>
      </c>
      <c r="H368" t="s">
        <v>28</v>
      </c>
      <c r="I368" t="s">
        <v>47</v>
      </c>
      <c r="J368" t="s">
        <v>74</v>
      </c>
      <c r="K368" t="s">
        <v>18</v>
      </c>
      <c r="L368">
        <v>15</v>
      </c>
    </row>
    <row r="369" spans="1:12">
      <c r="A369">
        <v>368</v>
      </c>
      <c r="B369">
        <v>2021</v>
      </c>
      <c r="C369" t="s">
        <v>396</v>
      </c>
      <c r="D369" t="s">
        <v>43</v>
      </c>
      <c r="E369" t="s">
        <v>27</v>
      </c>
      <c r="F369" t="s">
        <v>21</v>
      </c>
      <c r="G369" t="s">
        <v>21</v>
      </c>
      <c r="H369" t="s">
        <v>28</v>
      </c>
      <c r="I369" t="s">
        <v>21</v>
      </c>
      <c r="J369" t="s">
        <v>39</v>
      </c>
      <c r="K369" t="s">
        <v>24</v>
      </c>
      <c r="L369">
        <v>6</v>
      </c>
    </row>
    <row r="370" spans="1:12">
      <c r="A370">
        <v>369</v>
      </c>
      <c r="B370">
        <v>2022</v>
      </c>
      <c r="C370" t="s">
        <v>110</v>
      </c>
      <c r="D370" t="s">
        <v>26</v>
      </c>
      <c r="E370" t="s">
        <v>47</v>
      </c>
      <c r="F370" t="s">
        <v>50</v>
      </c>
      <c r="G370" t="s">
        <v>47</v>
      </c>
      <c r="H370" t="s">
        <v>28</v>
      </c>
      <c r="I370" t="s">
        <v>50</v>
      </c>
      <c r="J370" t="s">
        <v>33</v>
      </c>
      <c r="K370" t="s">
        <v>18</v>
      </c>
      <c r="L370">
        <v>34</v>
      </c>
    </row>
    <row r="371" spans="1:12">
      <c r="A371">
        <v>370</v>
      </c>
      <c r="B371">
        <v>2025</v>
      </c>
      <c r="C371" t="s">
        <v>397</v>
      </c>
      <c r="D371" t="s">
        <v>13</v>
      </c>
      <c r="E371" t="s">
        <v>50</v>
      </c>
      <c r="F371" t="s">
        <v>22</v>
      </c>
      <c r="G371" t="s">
        <v>22</v>
      </c>
      <c r="H371" t="s">
        <v>16</v>
      </c>
      <c r="I371" t="s">
        <v>22</v>
      </c>
      <c r="J371" t="s">
        <v>95</v>
      </c>
      <c r="K371" t="s">
        <v>24</v>
      </c>
      <c r="L371">
        <v>6</v>
      </c>
    </row>
    <row r="372" spans="1:12">
      <c r="A372">
        <v>371</v>
      </c>
      <c r="B372">
        <v>2025</v>
      </c>
      <c r="C372" t="s">
        <v>398</v>
      </c>
      <c r="D372" t="s">
        <v>20</v>
      </c>
      <c r="E372" t="s">
        <v>50</v>
      </c>
      <c r="F372" t="s">
        <v>14</v>
      </c>
      <c r="G372" t="s">
        <v>50</v>
      </c>
      <c r="H372" t="s">
        <v>16</v>
      </c>
      <c r="I372" t="s">
        <v>14</v>
      </c>
      <c r="J372" t="s">
        <v>116</v>
      </c>
      <c r="K372" t="s">
        <v>18</v>
      </c>
      <c r="L372">
        <v>10</v>
      </c>
    </row>
    <row r="373" spans="1:12">
      <c r="A373">
        <v>372</v>
      </c>
      <c r="B373">
        <v>2022</v>
      </c>
      <c r="C373" t="s">
        <v>399</v>
      </c>
      <c r="D373" t="s">
        <v>20</v>
      </c>
      <c r="E373" t="s">
        <v>56</v>
      </c>
      <c r="F373" t="s">
        <v>15</v>
      </c>
      <c r="G373" t="s">
        <v>56</v>
      </c>
      <c r="H373" t="s">
        <v>16</v>
      </c>
      <c r="I373" t="s">
        <v>15</v>
      </c>
      <c r="J373" t="s">
        <v>41</v>
      </c>
      <c r="K373" t="s">
        <v>18</v>
      </c>
      <c r="L373">
        <v>11</v>
      </c>
    </row>
    <row r="374" spans="1:12">
      <c r="A374">
        <v>373</v>
      </c>
      <c r="B374">
        <v>2025</v>
      </c>
      <c r="C374" t="s">
        <v>400</v>
      </c>
      <c r="D374" t="s">
        <v>31</v>
      </c>
      <c r="E374" t="s">
        <v>47</v>
      </c>
      <c r="F374" t="s">
        <v>21</v>
      </c>
      <c r="G374" t="s">
        <v>21</v>
      </c>
      <c r="H374" t="s">
        <v>28</v>
      </c>
      <c r="I374" t="s">
        <v>21</v>
      </c>
      <c r="J374" t="s">
        <v>17</v>
      </c>
      <c r="K374" t="s">
        <v>24</v>
      </c>
      <c r="L374">
        <v>1</v>
      </c>
    </row>
    <row r="375" spans="1:12">
      <c r="A375">
        <v>374</v>
      </c>
      <c r="B375">
        <v>2024</v>
      </c>
      <c r="C375" t="s">
        <v>401</v>
      </c>
      <c r="D375" t="s">
        <v>20</v>
      </c>
      <c r="E375" t="s">
        <v>14</v>
      </c>
      <c r="F375" t="s">
        <v>36</v>
      </c>
      <c r="G375" t="s">
        <v>14</v>
      </c>
      <c r="H375" t="s">
        <v>16</v>
      </c>
      <c r="I375" t="s">
        <v>36</v>
      </c>
      <c r="J375" t="s">
        <v>152</v>
      </c>
      <c r="K375" t="s">
        <v>18</v>
      </c>
      <c r="L375">
        <v>84</v>
      </c>
    </row>
    <row r="376" spans="1:12">
      <c r="A376">
        <v>375</v>
      </c>
      <c r="B376">
        <v>2023</v>
      </c>
      <c r="C376" t="s">
        <v>402</v>
      </c>
      <c r="D376" t="s">
        <v>31</v>
      </c>
      <c r="E376" t="s">
        <v>14</v>
      </c>
      <c r="F376" t="s">
        <v>22</v>
      </c>
      <c r="G376" t="s">
        <v>22</v>
      </c>
      <c r="H376" t="s">
        <v>28</v>
      </c>
      <c r="I376" t="s">
        <v>22</v>
      </c>
      <c r="J376" t="s">
        <v>57</v>
      </c>
      <c r="K376" t="s">
        <v>24</v>
      </c>
      <c r="L376">
        <v>2</v>
      </c>
    </row>
    <row r="377" spans="1:12">
      <c r="A377">
        <v>376</v>
      </c>
      <c r="B377">
        <v>2022</v>
      </c>
      <c r="C377" t="s">
        <v>403</v>
      </c>
      <c r="D377" t="s">
        <v>59</v>
      </c>
      <c r="E377" t="s">
        <v>14</v>
      </c>
      <c r="F377" t="s">
        <v>56</v>
      </c>
      <c r="G377" t="s">
        <v>56</v>
      </c>
      <c r="H377" t="s">
        <v>28</v>
      </c>
      <c r="I377" t="s">
        <v>56</v>
      </c>
      <c r="J377" t="s">
        <v>17</v>
      </c>
      <c r="K377" t="s">
        <v>18</v>
      </c>
      <c r="L377">
        <v>115</v>
      </c>
    </row>
    <row r="378" spans="1:12">
      <c r="A378">
        <v>377</v>
      </c>
      <c r="B378">
        <v>2022</v>
      </c>
      <c r="C378" t="s">
        <v>151</v>
      </c>
      <c r="D378" t="s">
        <v>20</v>
      </c>
      <c r="E378" t="s">
        <v>32</v>
      </c>
      <c r="F378" t="s">
        <v>21</v>
      </c>
      <c r="G378" t="s">
        <v>21</v>
      </c>
      <c r="H378" t="s">
        <v>16</v>
      </c>
      <c r="I378" t="s">
        <v>32</v>
      </c>
      <c r="J378" t="s">
        <v>17</v>
      </c>
      <c r="K378" t="s">
        <v>24</v>
      </c>
      <c r="L378">
        <v>4</v>
      </c>
    </row>
    <row r="379" spans="1:12">
      <c r="A379">
        <v>378</v>
      </c>
      <c r="B379">
        <v>2022</v>
      </c>
      <c r="C379" t="s">
        <v>404</v>
      </c>
      <c r="D379" t="s">
        <v>46</v>
      </c>
      <c r="E379" t="s">
        <v>56</v>
      </c>
      <c r="F379" t="s">
        <v>21</v>
      </c>
      <c r="G379" t="s">
        <v>21</v>
      </c>
      <c r="H379" t="s">
        <v>16</v>
      </c>
      <c r="I379" t="s">
        <v>56</v>
      </c>
      <c r="J379" t="s">
        <v>76</v>
      </c>
      <c r="K379" t="s">
        <v>24</v>
      </c>
      <c r="L379">
        <v>10</v>
      </c>
    </row>
    <row r="380" spans="1:12">
      <c r="A380">
        <v>379</v>
      </c>
      <c r="B380">
        <v>2024</v>
      </c>
      <c r="C380" t="s">
        <v>182</v>
      </c>
      <c r="D380" t="s">
        <v>43</v>
      </c>
      <c r="E380" t="s">
        <v>14</v>
      </c>
      <c r="F380" t="s">
        <v>36</v>
      </c>
      <c r="G380" t="s">
        <v>14</v>
      </c>
      <c r="H380" t="s">
        <v>28</v>
      </c>
      <c r="I380" t="s">
        <v>36</v>
      </c>
      <c r="J380" t="s">
        <v>152</v>
      </c>
      <c r="K380" t="s">
        <v>18</v>
      </c>
      <c r="L380">
        <v>89</v>
      </c>
    </row>
    <row r="381" spans="1:12">
      <c r="A381">
        <v>380</v>
      </c>
      <c r="B381">
        <v>2022</v>
      </c>
      <c r="C381" t="s">
        <v>405</v>
      </c>
      <c r="D381" t="s">
        <v>13</v>
      </c>
      <c r="E381" t="s">
        <v>21</v>
      </c>
      <c r="F381" t="s">
        <v>32</v>
      </c>
      <c r="G381" t="s">
        <v>32</v>
      </c>
      <c r="H381" t="s">
        <v>28</v>
      </c>
      <c r="I381" t="s">
        <v>32</v>
      </c>
      <c r="J381" t="s">
        <v>90</v>
      </c>
      <c r="K381" t="s">
        <v>18</v>
      </c>
      <c r="L381">
        <v>36</v>
      </c>
    </row>
    <row r="382" spans="1:12">
      <c r="A382">
        <v>381</v>
      </c>
      <c r="B382">
        <v>2023</v>
      </c>
      <c r="C382" t="s">
        <v>406</v>
      </c>
      <c r="D382" t="s">
        <v>38</v>
      </c>
      <c r="E382" t="s">
        <v>47</v>
      </c>
      <c r="F382" t="s">
        <v>27</v>
      </c>
      <c r="G382" t="s">
        <v>47</v>
      </c>
      <c r="H382" t="s">
        <v>28</v>
      </c>
      <c r="I382" t="s">
        <v>27</v>
      </c>
      <c r="J382" t="s">
        <v>23</v>
      </c>
      <c r="K382" t="s">
        <v>24</v>
      </c>
      <c r="L382">
        <v>9</v>
      </c>
    </row>
    <row r="383" spans="1:12">
      <c r="A383">
        <v>382</v>
      </c>
      <c r="B383">
        <v>2022</v>
      </c>
      <c r="C383" t="s">
        <v>407</v>
      </c>
      <c r="D383" t="s">
        <v>26</v>
      </c>
      <c r="E383" t="s">
        <v>50</v>
      </c>
      <c r="F383" t="s">
        <v>15</v>
      </c>
      <c r="G383" t="s">
        <v>15</v>
      </c>
      <c r="H383" t="s">
        <v>16</v>
      </c>
      <c r="I383" t="s">
        <v>50</v>
      </c>
      <c r="J383" t="s">
        <v>152</v>
      </c>
      <c r="K383" t="s">
        <v>24</v>
      </c>
      <c r="L383">
        <v>2</v>
      </c>
    </row>
    <row r="384" spans="1:12">
      <c r="A384">
        <v>383</v>
      </c>
      <c r="B384">
        <v>2024</v>
      </c>
      <c r="C384" t="s">
        <v>408</v>
      </c>
      <c r="D384" t="s">
        <v>13</v>
      </c>
      <c r="E384" t="s">
        <v>50</v>
      </c>
      <c r="F384" t="s">
        <v>32</v>
      </c>
      <c r="G384" t="s">
        <v>32</v>
      </c>
      <c r="H384" t="s">
        <v>28</v>
      </c>
      <c r="I384" t="s">
        <v>50</v>
      </c>
      <c r="J384" t="s">
        <v>152</v>
      </c>
      <c r="K384" t="s">
        <v>18</v>
      </c>
      <c r="L384">
        <v>4</v>
      </c>
    </row>
    <row r="385" spans="1:12">
      <c r="A385">
        <v>384</v>
      </c>
      <c r="B385">
        <v>2021</v>
      </c>
      <c r="C385" t="s">
        <v>409</v>
      </c>
      <c r="D385" t="s">
        <v>49</v>
      </c>
      <c r="E385" t="s">
        <v>14</v>
      </c>
      <c r="F385" t="s">
        <v>22</v>
      </c>
      <c r="G385" t="s">
        <v>22</v>
      </c>
      <c r="H385" t="s">
        <v>16</v>
      </c>
      <c r="I385" t="s">
        <v>22</v>
      </c>
      <c r="J385" t="s">
        <v>44</v>
      </c>
      <c r="K385" t="s">
        <v>18</v>
      </c>
      <c r="L385">
        <v>108</v>
      </c>
    </row>
    <row r="386" spans="1:12">
      <c r="A386">
        <v>385</v>
      </c>
      <c r="B386">
        <v>2023</v>
      </c>
      <c r="C386" t="s">
        <v>410</v>
      </c>
      <c r="D386" t="s">
        <v>46</v>
      </c>
      <c r="E386" t="s">
        <v>22</v>
      </c>
      <c r="F386" t="s">
        <v>36</v>
      </c>
      <c r="G386" t="s">
        <v>22</v>
      </c>
      <c r="H386" t="s">
        <v>28</v>
      </c>
      <c r="I386" t="s">
        <v>36</v>
      </c>
      <c r="J386" t="s">
        <v>17</v>
      </c>
      <c r="K386" t="s">
        <v>18</v>
      </c>
      <c r="L386">
        <v>96</v>
      </c>
    </row>
    <row r="387" spans="1:12">
      <c r="A387">
        <v>386</v>
      </c>
      <c r="B387">
        <v>2022</v>
      </c>
      <c r="C387" t="s">
        <v>411</v>
      </c>
      <c r="D387" t="s">
        <v>49</v>
      </c>
      <c r="E387" t="s">
        <v>36</v>
      </c>
      <c r="F387" t="s">
        <v>15</v>
      </c>
      <c r="G387" t="s">
        <v>36</v>
      </c>
      <c r="H387" t="s">
        <v>28</v>
      </c>
      <c r="I387" t="s">
        <v>15</v>
      </c>
      <c r="J387" t="s">
        <v>74</v>
      </c>
      <c r="K387" t="s">
        <v>24</v>
      </c>
      <c r="L387">
        <v>9</v>
      </c>
    </row>
    <row r="388" spans="1:12">
      <c r="A388">
        <v>387</v>
      </c>
      <c r="B388">
        <v>2023</v>
      </c>
      <c r="C388" t="s">
        <v>412</v>
      </c>
      <c r="D388" t="s">
        <v>59</v>
      </c>
      <c r="E388" t="s">
        <v>22</v>
      </c>
      <c r="F388" t="s">
        <v>47</v>
      </c>
      <c r="G388" t="s">
        <v>22</v>
      </c>
      <c r="H388" t="s">
        <v>28</v>
      </c>
      <c r="I388" t="s">
        <v>22</v>
      </c>
      <c r="J388" t="s">
        <v>66</v>
      </c>
      <c r="K388" t="s">
        <v>24</v>
      </c>
      <c r="L388">
        <v>8</v>
      </c>
    </row>
    <row r="389" spans="1:12">
      <c r="A389">
        <v>388</v>
      </c>
      <c r="B389">
        <v>2021</v>
      </c>
      <c r="C389" t="s">
        <v>161</v>
      </c>
      <c r="D389" t="s">
        <v>35</v>
      </c>
      <c r="E389" t="s">
        <v>27</v>
      </c>
      <c r="F389" t="s">
        <v>50</v>
      </c>
      <c r="G389" t="s">
        <v>27</v>
      </c>
      <c r="H389" t="s">
        <v>28</v>
      </c>
      <c r="I389" t="s">
        <v>27</v>
      </c>
      <c r="J389" t="s">
        <v>74</v>
      </c>
      <c r="K389" t="s">
        <v>24</v>
      </c>
      <c r="L389">
        <v>9</v>
      </c>
    </row>
    <row r="390" spans="1:12">
      <c r="A390">
        <v>389</v>
      </c>
      <c r="B390">
        <v>2022</v>
      </c>
      <c r="C390" t="s">
        <v>413</v>
      </c>
      <c r="D390" t="s">
        <v>26</v>
      </c>
      <c r="E390" t="s">
        <v>50</v>
      </c>
      <c r="F390" t="s">
        <v>15</v>
      </c>
      <c r="G390" t="s">
        <v>50</v>
      </c>
      <c r="H390" t="s">
        <v>28</v>
      </c>
      <c r="I390" t="s">
        <v>15</v>
      </c>
      <c r="J390" t="s">
        <v>29</v>
      </c>
      <c r="K390" t="s">
        <v>18</v>
      </c>
      <c r="L390">
        <v>20</v>
      </c>
    </row>
    <row r="391" spans="1:12">
      <c r="A391">
        <v>390</v>
      </c>
      <c r="B391">
        <v>2021</v>
      </c>
      <c r="C391" t="s">
        <v>414</v>
      </c>
      <c r="D391" t="s">
        <v>46</v>
      </c>
      <c r="E391" t="s">
        <v>50</v>
      </c>
      <c r="F391" t="s">
        <v>15</v>
      </c>
      <c r="G391" t="s">
        <v>15</v>
      </c>
      <c r="H391" t="s">
        <v>28</v>
      </c>
      <c r="I391" t="s">
        <v>50</v>
      </c>
      <c r="J391" t="s">
        <v>81</v>
      </c>
      <c r="K391" t="s">
        <v>18</v>
      </c>
      <c r="L391">
        <v>24</v>
      </c>
    </row>
    <row r="392" spans="1:12">
      <c r="A392">
        <v>391</v>
      </c>
      <c r="B392">
        <v>2025</v>
      </c>
      <c r="C392" t="s">
        <v>415</v>
      </c>
      <c r="D392" t="s">
        <v>26</v>
      </c>
      <c r="E392" t="s">
        <v>27</v>
      </c>
      <c r="F392" t="s">
        <v>32</v>
      </c>
      <c r="G392" t="s">
        <v>32</v>
      </c>
      <c r="H392" t="s">
        <v>16</v>
      </c>
      <c r="I392" t="s">
        <v>32</v>
      </c>
      <c r="J392" t="s">
        <v>95</v>
      </c>
      <c r="K392" t="s">
        <v>18</v>
      </c>
      <c r="L392">
        <v>85</v>
      </c>
    </row>
    <row r="393" spans="1:12">
      <c r="A393">
        <v>392</v>
      </c>
      <c r="B393">
        <v>2023</v>
      </c>
      <c r="C393" t="s">
        <v>416</v>
      </c>
      <c r="D393" t="s">
        <v>43</v>
      </c>
      <c r="E393" t="s">
        <v>15</v>
      </c>
      <c r="F393" t="s">
        <v>22</v>
      </c>
      <c r="G393" t="s">
        <v>22</v>
      </c>
      <c r="H393" t="s">
        <v>16</v>
      </c>
      <c r="I393" t="s">
        <v>15</v>
      </c>
      <c r="J393" t="s">
        <v>57</v>
      </c>
      <c r="K393" t="s">
        <v>24</v>
      </c>
      <c r="L393">
        <v>4</v>
      </c>
    </row>
    <row r="394" spans="1:12">
      <c r="A394">
        <v>393</v>
      </c>
      <c r="B394">
        <v>2022</v>
      </c>
      <c r="C394" t="s">
        <v>417</v>
      </c>
      <c r="D394" t="s">
        <v>46</v>
      </c>
      <c r="E394" t="s">
        <v>14</v>
      </c>
      <c r="F394" t="s">
        <v>56</v>
      </c>
      <c r="G394" t="s">
        <v>56</v>
      </c>
      <c r="H394" t="s">
        <v>16</v>
      </c>
      <c r="I394" t="s">
        <v>56</v>
      </c>
      <c r="J394" t="s">
        <v>44</v>
      </c>
      <c r="K394" t="s">
        <v>24</v>
      </c>
      <c r="L394">
        <v>1</v>
      </c>
    </row>
    <row r="395" spans="1:12">
      <c r="A395">
        <v>394</v>
      </c>
      <c r="B395">
        <v>2023</v>
      </c>
      <c r="C395" t="s">
        <v>279</v>
      </c>
      <c r="D395" t="s">
        <v>46</v>
      </c>
      <c r="E395" t="s">
        <v>36</v>
      </c>
      <c r="F395" t="s">
        <v>50</v>
      </c>
      <c r="G395" t="s">
        <v>50</v>
      </c>
      <c r="H395" t="s">
        <v>28</v>
      </c>
      <c r="I395" t="s">
        <v>36</v>
      </c>
      <c r="J395" t="s">
        <v>53</v>
      </c>
      <c r="K395" t="s">
        <v>18</v>
      </c>
      <c r="L395">
        <v>42</v>
      </c>
    </row>
    <row r="396" spans="1:12">
      <c r="A396">
        <v>395</v>
      </c>
      <c r="B396">
        <v>2021</v>
      </c>
      <c r="C396" t="s">
        <v>304</v>
      </c>
      <c r="D396" t="s">
        <v>38</v>
      </c>
      <c r="E396" t="s">
        <v>27</v>
      </c>
      <c r="F396" t="s">
        <v>36</v>
      </c>
      <c r="G396" t="s">
        <v>27</v>
      </c>
      <c r="H396" t="s">
        <v>16</v>
      </c>
      <c r="I396" t="s">
        <v>27</v>
      </c>
      <c r="J396" t="s">
        <v>66</v>
      </c>
      <c r="K396" t="s">
        <v>24</v>
      </c>
      <c r="L396">
        <v>2</v>
      </c>
    </row>
    <row r="397" spans="1:12">
      <c r="A397">
        <v>396</v>
      </c>
      <c r="B397">
        <v>2024</v>
      </c>
      <c r="C397" t="s">
        <v>418</v>
      </c>
      <c r="D397" t="s">
        <v>49</v>
      </c>
      <c r="E397" t="s">
        <v>21</v>
      </c>
      <c r="F397" t="s">
        <v>27</v>
      </c>
      <c r="G397" t="s">
        <v>21</v>
      </c>
      <c r="H397" t="s">
        <v>28</v>
      </c>
      <c r="I397" t="s">
        <v>27</v>
      </c>
      <c r="J397" t="s">
        <v>33</v>
      </c>
      <c r="K397" t="s">
        <v>18</v>
      </c>
      <c r="L397">
        <v>10</v>
      </c>
    </row>
    <row r="398" spans="1:12">
      <c r="A398">
        <v>397</v>
      </c>
      <c r="B398">
        <v>2023</v>
      </c>
      <c r="C398" t="s">
        <v>419</v>
      </c>
      <c r="D398" t="s">
        <v>13</v>
      </c>
      <c r="E398" t="s">
        <v>36</v>
      </c>
      <c r="F398" t="s">
        <v>21</v>
      </c>
      <c r="G398" t="s">
        <v>36</v>
      </c>
      <c r="H398" t="s">
        <v>28</v>
      </c>
      <c r="I398" t="s">
        <v>21</v>
      </c>
      <c r="J398" t="s">
        <v>41</v>
      </c>
      <c r="K398" t="s">
        <v>24</v>
      </c>
      <c r="L398">
        <v>7</v>
      </c>
    </row>
    <row r="399" spans="1:12">
      <c r="A399">
        <v>398</v>
      </c>
      <c r="B399">
        <v>2021</v>
      </c>
      <c r="C399" t="s">
        <v>222</v>
      </c>
      <c r="D399" t="s">
        <v>31</v>
      </c>
      <c r="E399" t="s">
        <v>32</v>
      </c>
      <c r="F399" t="s">
        <v>21</v>
      </c>
      <c r="G399" t="s">
        <v>32</v>
      </c>
      <c r="H399" t="s">
        <v>16</v>
      </c>
      <c r="I399" t="s">
        <v>32</v>
      </c>
      <c r="J399" t="s">
        <v>64</v>
      </c>
      <c r="K399" t="s">
        <v>24</v>
      </c>
      <c r="L399">
        <v>9</v>
      </c>
    </row>
    <row r="400" spans="1:12">
      <c r="A400">
        <v>399</v>
      </c>
      <c r="B400">
        <v>2023</v>
      </c>
      <c r="C400" t="s">
        <v>420</v>
      </c>
      <c r="D400" t="s">
        <v>59</v>
      </c>
      <c r="E400" t="s">
        <v>50</v>
      </c>
      <c r="F400" t="s">
        <v>21</v>
      </c>
      <c r="G400" t="s">
        <v>21</v>
      </c>
      <c r="H400" t="s">
        <v>28</v>
      </c>
      <c r="I400" t="s">
        <v>21</v>
      </c>
      <c r="J400" t="s">
        <v>41</v>
      </c>
      <c r="K400" t="s">
        <v>18</v>
      </c>
      <c r="L400">
        <v>61</v>
      </c>
    </row>
    <row r="401" spans="1:12">
      <c r="A401">
        <v>400</v>
      </c>
      <c r="B401">
        <v>2022</v>
      </c>
      <c r="C401" t="s">
        <v>421</v>
      </c>
      <c r="D401" t="s">
        <v>46</v>
      </c>
      <c r="E401" t="s">
        <v>27</v>
      </c>
      <c r="F401" t="s">
        <v>32</v>
      </c>
      <c r="G401" t="s">
        <v>32</v>
      </c>
      <c r="H401" t="s">
        <v>16</v>
      </c>
      <c r="I401" t="s">
        <v>32</v>
      </c>
      <c r="J401" t="s">
        <v>57</v>
      </c>
      <c r="K401" t="s">
        <v>18</v>
      </c>
      <c r="L401">
        <v>71</v>
      </c>
    </row>
    <row r="402" spans="1:12">
      <c r="A402">
        <v>401</v>
      </c>
      <c r="B402">
        <v>2021</v>
      </c>
      <c r="C402" t="s">
        <v>422</v>
      </c>
      <c r="D402" t="s">
        <v>13</v>
      </c>
      <c r="E402" t="s">
        <v>14</v>
      </c>
      <c r="F402" t="s">
        <v>50</v>
      </c>
      <c r="G402" t="s">
        <v>50</v>
      </c>
      <c r="H402" t="s">
        <v>16</v>
      </c>
      <c r="I402" t="s">
        <v>50</v>
      </c>
      <c r="J402" t="s">
        <v>66</v>
      </c>
      <c r="K402" t="s">
        <v>24</v>
      </c>
      <c r="L402">
        <v>4</v>
      </c>
    </row>
    <row r="403" spans="1:12">
      <c r="A403">
        <v>402</v>
      </c>
      <c r="B403">
        <v>2025</v>
      </c>
      <c r="C403" t="s">
        <v>423</v>
      </c>
      <c r="D403" t="s">
        <v>43</v>
      </c>
      <c r="E403" t="s">
        <v>27</v>
      </c>
      <c r="F403" t="s">
        <v>50</v>
      </c>
      <c r="G403" t="s">
        <v>27</v>
      </c>
      <c r="H403" t="s">
        <v>16</v>
      </c>
      <c r="I403" t="s">
        <v>50</v>
      </c>
      <c r="J403" t="s">
        <v>66</v>
      </c>
      <c r="K403" t="s">
        <v>18</v>
      </c>
      <c r="L403">
        <v>24</v>
      </c>
    </row>
    <row r="404" spans="1:12">
      <c r="A404">
        <v>403</v>
      </c>
      <c r="B404">
        <v>2021</v>
      </c>
      <c r="C404" t="s">
        <v>424</v>
      </c>
      <c r="D404" t="s">
        <v>43</v>
      </c>
      <c r="E404" t="s">
        <v>36</v>
      </c>
      <c r="F404" t="s">
        <v>47</v>
      </c>
      <c r="G404" t="s">
        <v>36</v>
      </c>
      <c r="H404" t="s">
        <v>28</v>
      </c>
      <c r="I404" t="s">
        <v>36</v>
      </c>
      <c r="J404" t="s">
        <v>44</v>
      </c>
      <c r="K404" t="s">
        <v>18</v>
      </c>
      <c r="L404">
        <v>26</v>
      </c>
    </row>
    <row r="405" spans="1:12">
      <c r="A405">
        <v>404</v>
      </c>
      <c r="B405">
        <v>2023</v>
      </c>
      <c r="C405" t="s">
        <v>425</v>
      </c>
      <c r="D405" t="s">
        <v>38</v>
      </c>
      <c r="E405" t="s">
        <v>56</v>
      </c>
      <c r="F405" t="s">
        <v>27</v>
      </c>
      <c r="G405" t="s">
        <v>56</v>
      </c>
      <c r="H405" t="s">
        <v>16</v>
      </c>
      <c r="I405" t="s">
        <v>27</v>
      </c>
      <c r="J405" t="s">
        <v>90</v>
      </c>
      <c r="K405" t="s">
        <v>18</v>
      </c>
      <c r="L405">
        <v>116</v>
      </c>
    </row>
    <row r="406" spans="1:12">
      <c r="A406">
        <v>405</v>
      </c>
      <c r="B406">
        <v>2024</v>
      </c>
      <c r="C406" t="s">
        <v>426</v>
      </c>
      <c r="D406" t="s">
        <v>49</v>
      </c>
      <c r="E406" t="s">
        <v>47</v>
      </c>
      <c r="F406" t="s">
        <v>56</v>
      </c>
      <c r="G406" t="s">
        <v>56</v>
      </c>
      <c r="H406" t="s">
        <v>16</v>
      </c>
      <c r="I406" t="s">
        <v>56</v>
      </c>
      <c r="J406" t="s">
        <v>81</v>
      </c>
      <c r="K406" t="s">
        <v>24</v>
      </c>
      <c r="L406">
        <v>3</v>
      </c>
    </row>
    <row r="407" spans="1:12">
      <c r="A407">
        <v>406</v>
      </c>
      <c r="B407">
        <v>2022</v>
      </c>
      <c r="C407" t="s">
        <v>427</v>
      </c>
      <c r="D407" t="s">
        <v>20</v>
      </c>
      <c r="E407" t="s">
        <v>22</v>
      </c>
      <c r="F407" t="s">
        <v>32</v>
      </c>
      <c r="G407" t="s">
        <v>32</v>
      </c>
      <c r="H407" t="s">
        <v>28</v>
      </c>
      <c r="I407" t="s">
        <v>22</v>
      </c>
      <c r="J407" t="s">
        <v>81</v>
      </c>
      <c r="K407" t="s">
        <v>24</v>
      </c>
      <c r="L407">
        <v>8</v>
      </c>
    </row>
    <row r="408" spans="1:12">
      <c r="A408">
        <v>407</v>
      </c>
      <c r="B408">
        <v>2023</v>
      </c>
      <c r="C408" t="s">
        <v>428</v>
      </c>
      <c r="D408" t="s">
        <v>46</v>
      </c>
      <c r="E408" t="s">
        <v>47</v>
      </c>
      <c r="F408" t="s">
        <v>36</v>
      </c>
      <c r="G408" t="s">
        <v>47</v>
      </c>
      <c r="H408" t="s">
        <v>16</v>
      </c>
      <c r="I408" t="s">
        <v>47</v>
      </c>
      <c r="J408" t="s">
        <v>44</v>
      </c>
      <c r="K408" t="s">
        <v>18</v>
      </c>
      <c r="L408">
        <v>115</v>
      </c>
    </row>
    <row r="409" spans="1:12">
      <c r="A409">
        <v>408</v>
      </c>
      <c r="B409">
        <v>2023</v>
      </c>
      <c r="C409" t="s">
        <v>429</v>
      </c>
      <c r="D409" t="s">
        <v>49</v>
      </c>
      <c r="E409" t="s">
        <v>21</v>
      </c>
      <c r="F409" t="s">
        <v>50</v>
      </c>
      <c r="G409" t="s">
        <v>21</v>
      </c>
      <c r="H409" t="s">
        <v>16</v>
      </c>
      <c r="I409" t="s">
        <v>50</v>
      </c>
      <c r="J409" t="s">
        <v>62</v>
      </c>
      <c r="K409" t="s">
        <v>18</v>
      </c>
      <c r="L409">
        <v>117</v>
      </c>
    </row>
    <row r="410" spans="1:12">
      <c r="A410">
        <v>409</v>
      </c>
      <c r="B410">
        <v>2023</v>
      </c>
      <c r="C410" t="s">
        <v>430</v>
      </c>
      <c r="D410" t="s">
        <v>43</v>
      </c>
      <c r="E410" t="s">
        <v>36</v>
      </c>
      <c r="F410" t="s">
        <v>50</v>
      </c>
      <c r="G410" t="s">
        <v>50</v>
      </c>
      <c r="H410" t="s">
        <v>16</v>
      </c>
      <c r="I410" t="s">
        <v>50</v>
      </c>
      <c r="J410" t="s">
        <v>41</v>
      </c>
      <c r="K410" t="s">
        <v>18</v>
      </c>
      <c r="L410">
        <v>115</v>
      </c>
    </row>
    <row r="411" spans="1:12">
      <c r="A411">
        <v>410</v>
      </c>
      <c r="B411">
        <v>2023</v>
      </c>
      <c r="C411" t="s">
        <v>159</v>
      </c>
      <c r="D411" t="s">
        <v>38</v>
      </c>
      <c r="E411" t="s">
        <v>27</v>
      </c>
      <c r="F411" t="s">
        <v>47</v>
      </c>
      <c r="G411" t="s">
        <v>27</v>
      </c>
      <c r="H411" t="s">
        <v>28</v>
      </c>
      <c r="I411" t="s">
        <v>47</v>
      </c>
      <c r="J411" t="s">
        <v>152</v>
      </c>
      <c r="K411" t="s">
        <v>18</v>
      </c>
      <c r="L411">
        <v>85</v>
      </c>
    </row>
    <row r="412" spans="1:12">
      <c r="A412">
        <v>411</v>
      </c>
      <c r="B412">
        <v>2025</v>
      </c>
      <c r="C412" t="s">
        <v>427</v>
      </c>
      <c r="D412" t="s">
        <v>20</v>
      </c>
      <c r="E412" t="s">
        <v>27</v>
      </c>
      <c r="F412" t="s">
        <v>36</v>
      </c>
      <c r="G412" t="s">
        <v>27</v>
      </c>
      <c r="H412" t="s">
        <v>28</v>
      </c>
      <c r="I412" t="s">
        <v>27</v>
      </c>
      <c r="J412" t="s">
        <v>39</v>
      </c>
      <c r="K412" t="s">
        <v>18</v>
      </c>
      <c r="L412">
        <v>95</v>
      </c>
    </row>
    <row r="413" spans="1:12">
      <c r="A413">
        <v>412</v>
      </c>
      <c r="B413">
        <v>2021</v>
      </c>
      <c r="C413" t="s">
        <v>431</v>
      </c>
      <c r="D413" t="s">
        <v>38</v>
      </c>
      <c r="E413" t="s">
        <v>22</v>
      </c>
      <c r="F413" t="s">
        <v>47</v>
      </c>
      <c r="G413" t="s">
        <v>22</v>
      </c>
      <c r="H413" t="s">
        <v>16</v>
      </c>
      <c r="I413" t="s">
        <v>47</v>
      </c>
      <c r="J413" t="s">
        <v>57</v>
      </c>
      <c r="K413" t="s">
        <v>18</v>
      </c>
      <c r="L413">
        <v>6</v>
      </c>
    </row>
    <row r="414" spans="1:12">
      <c r="A414">
        <v>413</v>
      </c>
      <c r="B414">
        <v>2023</v>
      </c>
      <c r="C414" t="s">
        <v>309</v>
      </c>
      <c r="D414" t="s">
        <v>46</v>
      </c>
      <c r="E414" t="s">
        <v>32</v>
      </c>
      <c r="F414" t="s">
        <v>47</v>
      </c>
      <c r="G414" t="s">
        <v>47</v>
      </c>
      <c r="H414" t="s">
        <v>16</v>
      </c>
      <c r="I414" t="s">
        <v>32</v>
      </c>
      <c r="J414" t="s">
        <v>81</v>
      </c>
      <c r="K414" t="s">
        <v>18</v>
      </c>
      <c r="L414">
        <v>91</v>
      </c>
    </row>
    <row r="415" spans="1:12">
      <c r="A415">
        <v>414</v>
      </c>
      <c r="B415">
        <v>2023</v>
      </c>
      <c r="C415" t="s">
        <v>432</v>
      </c>
      <c r="D415" t="s">
        <v>35</v>
      </c>
      <c r="E415" t="s">
        <v>15</v>
      </c>
      <c r="F415" t="s">
        <v>36</v>
      </c>
      <c r="G415" t="s">
        <v>15</v>
      </c>
      <c r="H415" t="s">
        <v>28</v>
      </c>
      <c r="I415" t="s">
        <v>36</v>
      </c>
      <c r="J415" t="s">
        <v>57</v>
      </c>
      <c r="K415" t="s">
        <v>18</v>
      </c>
      <c r="L415">
        <v>67</v>
      </c>
    </row>
    <row r="416" spans="1:12">
      <c r="A416">
        <v>415</v>
      </c>
      <c r="B416">
        <v>2022</v>
      </c>
      <c r="C416" t="s">
        <v>433</v>
      </c>
      <c r="D416" t="s">
        <v>59</v>
      </c>
      <c r="E416" t="s">
        <v>36</v>
      </c>
      <c r="F416" t="s">
        <v>32</v>
      </c>
      <c r="G416" t="s">
        <v>32</v>
      </c>
      <c r="H416" t="s">
        <v>28</v>
      </c>
      <c r="I416" t="s">
        <v>32</v>
      </c>
      <c r="J416" t="s">
        <v>116</v>
      </c>
      <c r="K416" t="s">
        <v>18</v>
      </c>
      <c r="L416">
        <v>65</v>
      </c>
    </row>
    <row r="417" spans="1:12">
      <c r="A417">
        <v>416</v>
      </c>
      <c r="B417">
        <v>2022</v>
      </c>
      <c r="C417" t="s">
        <v>434</v>
      </c>
      <c r="D417" t="s">
        <v>43</v>
      </c>
      <c r="E417" t="s">
        <v>22</v>
      </c>
      <c r="F417" t="s">
        <v>21</v>
      </c>
      <c r="G417" t="s">
        <v>21</v>
      </c>
      <c r="H417" t="s">
        <v>16</v>
      </c>
      <c r="I417" t="s">
        <v>22</v>
      </c>
      <c r="J417" t="s">
        <v>39</v>
      </c>
      <c r="K417" t="s">
        <v>18</v>
      </c>
      <c r="L417">
        <v>47</v>
      </c>
    </row>
    <row r="418" spans="1:12">
      <c r="A418">
        <v>417</v>
      </c>
      <c r="B418">
        <v>2021</v>
      </c>
      <c r="C418" t="s">
        <v>80</v>
      </c>
      <c r="D418" t="s">
        <v>43</v>
      </c>
      <c r="E418" t="s">
        <v>22</v>
      </c>
      <c r="F418" t="s">
        <v>32</v>
      </c>
      <c r="G418" t="s">
        <v>32</v>
      </c>
      <c r="H418" t="s">
        <v>16</v>
      </c>
      <c r="I418" t="s">
        <v>32</v>
      </c>
      <c r="J418" t="s">
        <v>116</v>
      </c>
      <c r="K418" t="s">
        <v>24</v>
      </c>
      <c r="L418">
        <v>4</v>
      </c>
    </row>
    <row r="419" spans="1:12">
      <c r="A419">
        <v>418</v>
      </c>
      <c r="B419">
        <v>2024</v>
      </c>
      <c r="C419" t="s">
        <v>435</v>
      </c>
      <c r="D419" t="s">
        <v>43</v>
      </c>
      <c r="E419" t="s">
        <v>14</v>
      </c>
      <c r="F419" t="s">
        <v>22</v>
      </c>
      <c r="G419" t="s">
        <v>14</v>
      </c>
      <c r="H419" t="s">
        <v>16</v>
      </c>
      <c r="I419" t="s">
        <v>14</v>
      </c>
      <c r="J419" t="s">
        <v>29</v>
      </c>
      <c r="K419" t="s">
        <v>18</v>
      </c>
      <c r="L419">
        <v>115</v>
      </c>
    </row>
    <row r="420" spans="1:12">
      <c r="A420">
        <v>419</v>
      </c>
      <c r="B420">
        <v>2021</v>
      </c>
      <c r="C420" t="s">
        <v>318</v>
      </c>
      <c r="D420" t="s">
        <v>20</v>
      </c>
      <c r="E420" t="s">
        <v>27</v>
      </c>
      <c r="F420" t="s">
        <v>15</v>
      </c>
      <c r="G420" t="s">
        <v>27</v>
      </c>
      <c r="H420" t="s">
        <v>28</v>
      </c>
      <c r="I420" t="s">
        <v>27</v>
      </c>
      <c r="J420" t="s">
        <v>53</v>
      </c>
      <c r="K420" t="s">
        <v>18</v>
      </c>
      <c r="L420">
        <v>28</v>
      </c>
    </row>
    <row r="421" spans="1:12">
      <c r="A421">
        <v>420</v>
      </c>
      <c r="B421">
        <v>2024</v>
      </c>
      <c r="C421" t="s">
        <v>436</v>
      </c>
      <c r="D421" t="s">
        <v>46</v>
      </c>
      <c r="E421" t="s">
        <v>47</v>
      </c>
      <c r="F421" t="s">
        <v>27</v>
      </c>
      <c r="G421" t="s">
        <v>47</v>
      </c>
      <c r="H421" t="s">
        <v>28</v>
      </c>
      <c r="I421" t="s">
        <v>47</v>
      </c>
      <c r="J421" t="s">
        <v>62</v>
      </c>
      <c r="K421" t="s">
        <v>18</v>
      </c>
      <c r="L421">
        <v>80</v>
      </c>
    </row>
    <row r="422" spans="1:12">
      <c r="A422">
        <v>421</v>
      </c>
      <c r="B422">
        <v>2022</v>
      </c>
      <c r="C422" t="s">
        <v>437</v>
      </c>
      <c r="D422" t="s">
        <v>49</v>
      </c>
      <c r="E422" t="s">
        <v>56</v>
      </c>
      <c r="F422" t="s">
        <v>47</v>
      </c>
      <c r="G422" t="s">
        <v>56</v>
      </c>
      <c r="H422" t="s">
        <v>16</v>
      </c>
      <c r="I422" t="s">
        <v>47</v>
      </c>
      <c r="J422" t="s">
        <v>41</v>
      </c>
      <c r="K422" t="s">
        <v>18</v>
      </c>
      <c r="L422">
        <v>14</v>
      </c>
    </row>
    <row r="423" spans="1:12">
      <c r="A423">
        <v>422</v>
      </c>
      <c r="B423">
        <v>2025</v>
      </c>
      <c r="C423" t="s">
        <v>438</v>
      </c>
      <c r="D423" t="s">
        <v>46</v>
      </c>
      <c r="E423" t="s">
        <v>36</v>
      </c>
      <c r="F423" t="s">
        <v>32</v>
      </c>
      <c r="G423" t="s">
        <v>36</v>
      </c>
      <c r="H423" t="s">
        <v>16</v>
      </c>
      <c r="I423" t="s">
        <v>36</v>
      </c>
      <c r="J423" t="s">
        <v>116</v>
      </c>
      <c r="K423" t="s">
        <v>18</v>
      </c>
      <c r="L423">
        <v>113</v>
      </c>
    </row>
    <row r="424" spans="1:12">
      <c r="A424">
        <v>423</v>
      </c>
      <c r="B424">
        <v>2021</v>
      </c>
      <c r="C424" t="s">
        <v>439</v>
      </c>
      <c r="D424" t="s">
        <v>49</v>
      </c>
      <c r="E424" t="s">
        <v>21</v>
      </c>
      <c r="F424" t="s">
        <v>47</v>
      </c>
      <c r="G424" t="s">
        <v>21</v>
      </c>
      <c r="H424" t="s">
        <v>16</v>
      </c>
      <c r="I424" t="s">
        <v>47</v>
      </c>
      <c r="J424" t="s">
        <v>152</v>
      </c>
      <c r="K424" t="s">
        <v>24</v>
      </c>
      <c r="L424">
        <v>6</v>
      </c>
    </row>
    <row r="425" spans="1:12">
      <c r="A425">
        <v>424</v>
      </c>
      <c r="B425">
        <v>2025</v>
      </c>
      <c r="C425" t="s">
        <v>440</v>
      </c>
      <c r="D425" t="s">
        <v>59</v>
      </c>
      <c r="E425" t="s">
        <v>32</v>
      </c>
      <c r="F425" t="s">
        <v>22</v>
      </c>
      <c r="G425" t="s">
        <v>22</v>
      </c>
      <c r="H425" t="s">
        <v>28</v>
      </c>
      <c r="I425" t="s">
        <v>22</v>
      </c>
      <c r="J425" t="s">
        <v>62</v>
      </c>
      <c r="K425" t="s">
        <v>18</v>
      </c>
      <c r="L425">
        <v>55</v>
      </c>
    </row>
    <row r="426" spans="1:12">
      <c r="A426">
        <v>425</v>
      </c>
      <c r="B426">
        <v>2024</v>
      </c>
      <c r="C426" t="s">
        <v>226</v>
      </c>
      <c r="D426" t="s">
        <v>49</v>
      </c>
      <c r="E426" t="s">
        <v>22</v>
      </c>
      <c r="F426" t="s">
        <v>21</v>
      </c>
      <c r="G426" t="s">
        <v>21</v>
      </c>
      <c r="H426" t="s">
        <v>28</v>
      </c>
      <c r="I426" t="s">
        <v>21</v>
      </c>
      <c r="J426" t="s">
        <v>66</v>
      </c>
      <c r="K426" t="s">
        <v>18</v>
      </c>
      <c r="L426">
        <v>91</v>
      </c>
    </row>
    <row r="427" spans="1:12">
      <c r="A427">
        <v>426</v>
      </c>
      <c r="B427">
        <v>2025</v>
      </c>
      <c r="C427" t="s">
        <v>441</v>
      </c>
      <c r="D427" t="s">
        <v>31</v>
      </c>
      <c r="E427" t="s">
        <v>21</v>
      </c>
      <c r="F427" t="s">
        <v>36</v>
      </c>
      <c r="G427" t="s">
        <v>21</v>
      </c>
      <c r="H427" t="s">
        <v>28</v>
      </c>
      <c r="I427" t="s">
        <v>21</v>
      </c>
      <c r="J427" t="s">
        <v>81</v>
      </c>
      <c r="K427" t="s">
        <v>24</v>
      </c>
      <c r="L427">
        <v>6</v>
      </c>
    </row>
    <row r="428" spans="1:12">
      <c r="A428">
        <v>427</v>
      </c>
      <c r="B428">
        <v>2024</v>
      </c>
      <c r="C428" t="s">
        <v>442</v>
      </c>
      <c r="D428" t="s">
        <v>38</v>
      </c>
      <c r="E428" t="s">
        <v>50</v>
      </c>
      <c r="F428" t="s">
        <v>15</v>
      </c>
      <c r="G428" t="s">
        <v>15</v>
      </c>
      <c r="H428" t="s">
        <v>28</v>
      </c>
      <c r="I428" t="s">
        <v>15</v>
      </c>
      <c r="J428" t="s">
        <v>90</v>
      </c>
      <c r="K428" t="s">
        <v>24</v>
      </c>
      <c r="L428">
        <v>7</v>
      </c>
    </row>
    <row r="429" spans="1:12">
      <c r="A429">
        <v>428</v>
      </c>
      <c r="B429">
        <v>2025</v>
      </c>
      <c r="C429" t="s">
        <v>443</v>
      </c>
      <c r="D429" t="s">
        <v>26</v>
      </c>
      <c r="E429" t="s">
        <v>36</v>
      </c>
      <c r="F429" t="s">
        <v>47</v>
      </c>
      <c r="G429" t="s">
        <v>36</v>
      </c>
      <c r="H429" t="s">
        <v>28</v>
      </c>
      <c r="I429" t="s">
        <v>47</v>
      </c>
      <c r="J429" t="s">
        <v>44</v>
      </c>
      <c r="K429" t="s">
        <v>24</v>
      </c>
      <c r="L429">
        <v>10</v>
      </c>
    </row>
    <row r="430" spans="1:12">
      <c r="A430">
        <v>429</v>
      </c>
      <c r="B430">
        <v>2024</v>
      </c>
      <c r="C430" t="s">
        <v>92</v>
      </c>
      <c r="D430" t="s">
        <v>13</v>
      </c>
      <c r="E430" t="s">
        <v>27</v>
      </c>
      <c r="F430" t="s">
        <v>21</v>
      </c>
      <c r="G430" t="s">
        <v>27</v>
      </c>
      <c r="H430" t="s">
        <v>28</v>
      </c>
      <c r="I430" t="s">
        <v>27</v>
      </c>
      <c r="J430" t="s">
        <v>17</v>
      </c>
      <c r="K430" t="s">
        <v>18</v>
      </c>
      <c r="L430">
        <v>66</v>
      </c>
    </row>
    <row r="431" spans="1:12">
      <c r="A431">
        <v>430</v>
      </c>
      <c r="B431">
        <v>2023</v>
      </c>
      <c r="C431" t="s">
        <v>444</v>
      </c>
      <c r="D431" t="s">
        <v>43</v>
      </c>
      <c r="E431" t="s">
        <v>36</v>
      </c>
      <c r="F431" t="s">
        <v>14</v>
      </c>
      <c r="G431" t="s">
        <v>36</v>
      </c>
      <c r="H431" t="s">
        <v>28</v>
      </c>
      <c r="I431" t="s">
        <v>36</v>
      </c>
      <c r="J431" t="s">
        <v>64</v>
      </c>
      <c r="K431" t="s">
        <v>18</v>
      </c>
      <c r="L431">
        <v>61</v>
      </c>
    </row>
    <row r="432" spans="1:12">
      <c r="A432">
        <v>431</v>
      </c>
      <c r="B432">
        <v>2021</v>
      </c>
      <c r="C432" t="s">
        <v>445</v>
      </c>
      <c r="D432" t="s">
        <v>13</v>
      </c>
      <c r="E432" t="s">
        <v>21</v>
      </c>
      <c r="F432" t="s">
        <v>15</v>
      </c>
      <c r="G432" t="s">
        <v>21</v>
      </c>
      <c r="H432" t="s">
        <v>28</v>
      </c>
      <c r="I432" t="s">
        <v>21</v>
      </c>
      <c r="J432" t="s">
        <v>90</v>
      </c>
      <c r="K432" t="s">
        <v>18</v>
      </c>
      <c r="L432">
        <v>93</v>
      </c>
    </row>
    <row r="433" spans="1:12">
      <c r="A433">
        <v>432</v>
      </c>
      <c r="B433">
        <v>2025</v>
      </c>
      <c r="C433" t="s">
        <v>446</v>
      </c>
      <c r="D433" t="s">
        <v>46</v>
      </c>
      <c r="E433" t="s">
        <v>36</v>
      </c>
      <c r="F433" t="s">
        <v>15</v>
      </c>
      <c r="G433" t="s">
        <v>36</v>
      </c>
      <c r="H433" t="s">
        <v>16</v>
      </c>
      <c r="I433" t="s">
        <v>15</v>
      </c>
      <c r="J433" t="s">
        <v>76</v>
      </c>
      <c r="K433" t="s">
        <v>18</v>
      </c>
      <c r="L433">
        <v>26</v>
      </c>
    </row>
    <row r="434" spans="1:12">
      <c r="A434">
        <v>433</v>
      </c>
      <c r="B434">
        <v>2022</v>
      </c>
      <c r="C434" t="s">
        <v>447</v>
      </c>
      <c r="D434" t="s">
        <v>49</v>
      </c>
      <c r="E434" t="s">
        <v>14</v>
      </c>
      <c r="F434" t="s">
        <v>36</v>
      </c>
      <c r="G434" t="s">
        <v>14</v>
      </c>
      <c r="H434" t="s">
        <v>16</v>
      </c>
      <c r="I434" t="s">
        <v>14</v>
      </c>
      <c r="J434" t="s">
        <v>57</v>
      </c>
      <c r="K434" t="s">
        <v>18</v>
      </c>
      <c r="L434">
        <v>84</v>
      </c>
    </row>
    <row r="435" spans="1:12">
      <c r="A435">
        <v>434</v>
      </c>
      <c r="B435">
        <v>2021</v>
      </c>
      <c r="C435" t="s">
        <v>448</v>
      </c>
      <c r="D435" t="s">
        <v>49</v>
      </c>
      <c r="E435" t="s">
        <v>15</v>
      </c>
      <c r="F435" t="s">
        <v>32</v>
      </c>
      <c r="G435" t="s">
        <v>32</v>
      </c>
      <c r="H435" t="s">
        <v>28</v>
      </c>
      <c r="I435" t="s">
        <v>32</v>
      </c>
      <c r="J435" t="s">
        <v>62</v>
      </c>
      <c r="K435" t="s">
        <v>18</v>
      </c>
      <c r="L435">
        <v>67</v>
      </c>
    </row>
    <row r="436" spans="1:12">
      <c r="A436">
        <v>435</v>
      </c>
      <c r="B436">
        <v>2021</v>
      </c>
      <c r="C436" t="s">
        <v>249</v>
      </c>
      <c r="D436" t="s">
        <v>38</v>
      </c>
      <c r="E436" t="s">
        <v>21</v>
      </c>
      <c r="F436" t="s">
        <v>36</v>
      </c>
      <c r="G436" t="s">
        <v>36</v>
      </c>
      <c r="H436" t="s">
        <v>28</v>
      </c>
      <c r="I436" t="s">
        <v>36</v>
      </c>
      <c r="J436" t="s">
        <v>44</v>
      </c>
      <c r="K436" t="s">
        <v>18</v>
      </c>
      <c r="L436">
        <v>78</v>
      </c>
    </row>
    <row r="437" spans="1:12">
      <c r="A437">
        <v>436</v>
      </c>
      <c r="B437">
        <v>2024</v>
      </c>
      <c r="C437" t="s">
        <v>438</v>
      </c>
      <c r="D437" t="s">
        <v>31</v>
      </c>
      <c r="E437" t="s">
        <v>50</v>
      </c>
      <c r="F437" t="s">
        <v>14</v>
      </c>
      <c r="G437" t="s">
        <v>14</v>
      </c>
      <c r="H437" t="s">
        <v>16</v>
      </c>
      <c r="I437" t="s">
        <v>14</v>
      </c>
      <c r="J437" t="s">
        <v>152</v>
      </c>
      <c r="K437" t="s">
        <v>18</v>
      </c>
      <c r="L437">
        <v>72</v>
      </c>
    </row>
    <row r="438" spans="1:12">
      <c r="A438">
        <v>437</v>
      </c>
      <c r="B438">
        <v>2023</v>
      </c>
      <c r="C438" t="s">
        <v>449</v>
      </c>
      <c r="D438" t="s">
        <v>26</v>
      </c>
      <c r="E438" t="s">
        <v>56</v>
      </c>
      <c r="F438" t="s">
        <v>21</v>
      </c>
      <c r="G438" t="s">
        <v>21</v>
      </c>
      <c r="H438" t="s">
        <v>28</v>
      </c>
      <c r="I438" t="s">
        <v>21</v>
      </c>
      <c r="J438" t="s">
        <v>41</v>
      </c>
      <c r="K438" t="s">
        <v>24</v>
      </c>
      <c r="L438">
        <v>4</v>
      </c>
    </row>
    <row r="439" spans="1:12">
      <c r="A439">
        <v>438</v>
      </c>
      <c r="B439">
        <v>2024</v>
      </c>
      <c r="C439" t="s">
        <v>450</v>
      </c>
      <c r="D439" t="s">
        <v>38</v>
      </c>
      <c r="E439" t="s">
        <v>47</v>
      </c>
      <c r="F439" t="s">
        <v>14</v>
      </c>
      <c r="G439" t="s">
        <v>14</v>
      </c>
      <c r="H439" t="s">
        <v>16</v>
      </c>
      <c r="I439" t="s">
        <v>14</v>
      </c>
      <c r="J439" t="s">
        <v>64</v>
      </c>
      <c r="K439" t="s">
        <v>24</v>
      </c>
      <c r="L439">
        <v>4</v>
      </c>
    </row>
    <row r="440" spans="1:12">
      <c r="A440">
        <v>439</v>
      </c>
      <c r="B440">
        <v>2023</v>
      </c>
      <c r="C440" t="s">
        <v>451</v>
      </c>
      <c r="D440" t="s">
        <v>26</v>
      </c>
      <c r="E440" t="s">
        <v>32</v>
      </c>
      <c r="F440" t="s">
        <v>56</v>
      </c>
      <c r="G440" t="s">
        <v>32</v>
      </c>
      <c r="H440" t="s">
        <v>28</v>
      </c>
      <c r="I440" t="s">
        <v>32</v>
      </c>
      <c r="J440" t="s">
        <v>53</v>
      </c>
      <c r="K440" t="s">
        <v>18</v>
      </c>
      <c r="L440">
        <v>52</v>
      </c>
    </row>
    <row r="441" spans="1:12">
      <c r="A441">
        <v>440</v>
      </c>
      <c r="B441">
        <v>2025</v>
      </c>
      <c r="C441" t="s">
        <v>452</v>
      </c>
      <c r="D441" t="s">
        <v>38</v>
      </c>
      <c r="E441" t="s">
        <v>27</v>
      </c>
      <c r="F441" t="s">
        <v>47</v>
      </c>
      <c r="G441" t="s">
        <v>47</v>
      </c>
      <c r="H441" t="s">
        <v>28</v>
      </c>
      <c r="I441" t="s">
        <v>27</v>
      </c>
      <c r="J441" t="s">
        <v>62</v>
      </c>
      <c r="K441" t="s">
        <v>24</v>
      </c>
      <c r="L441">
        <v>3</v>
      </c>
    </row>
    <row r="442" spans="1:12">
      <c r="A442">
        <v>441</v>
      </c>
      <c r="B442">
        <v>2022</v>
      </c>
      <c r="C442" t="s">
        <v>453</v>
      </c>
      <c r="D442" t="s">
        <v>43</v>
      </c>
      <c r="E442" t="s">
        <v>22</v>
      </c>
      <c r="F442" t="s">
        <v>50</v>
      </c>
      <c r="G442" t="s">
        <v>50</v>
      </c>
      <c r="H442" t="s">
        <v>16</v>
      </c>
      <c r="I442" t="s">
        <v>22</v>
      </c>
      <c r="J442" t="s">
        <v>66</v>
      </c>
      <c r="K442" t="s">
        <v>18</v>
      </c>
      <c r="L442">
        <v>108</v>
      </c>
    </row>
    <row r="443" spans="1:12">
      <c r="A443">
        <v>442</v>
      </c>
      <c r="B443">
        <v>2022</v>
      </c>
      <c r="C443" t="s">
        <v>454</v>
      </c>
      <c r="D443" t="s">
        <v>20</v>
      </c>
      <c r="E443" t="s">
        <v>21</v>
      </c>
      <c r="F443" t="s">
        <v>50</v>
      </c>
      <c r="G443" t="s">
        <v>21</v>
      </c>
      <c r="H443" t="s">
        <v>28</v>
      </c>
      <c r="I443" t="s">
        <v>21</v>
      </c>
      <c r="J443" t="s">
        <v>23</v>
      </c>
      <c r="K443" t="s">
        <v>18</v>
      </c>
      <c r="L443">
        <v>109</v>
      </c>
    </row>
    <row r="444" spans="1:12">
      <c r="A444">
        <v>443</v>
      </c>
      <c r="B444">
        <v>2025</v>
      </c>
      <c r="C444" t="s">
        <v>386</v>
      </c>
      <c r="D444" t="s">
        <v>38</v>
      </c>
      <c r="E444" t="s">
        <v>56</v>
      </c>
      <c r="F444" t="s">
        <v>47</v>
      </c>
      <c r="G444" t="s">
        <v>47</v>
      </c>
      <c r="H444" t="s">
        <v>28</v>
      </c>
      <c r="I444" t="s">
        <v>56</v>
      </c>
      <c r="J444" t="s">
        <v>152</v>
      </c>
      <c r="K444" t="s">
        <v>24</v>
      </c>
      <c r="L444">
        <v>7</v>
      </c>
    </row>
    <row r="445" spans="1:12">
      <c r="A445">
        <v>444</v>
      </c>
      <c r="B445">
        <v>2025</v>
      </c>
      <c r="C445" t="s">
        <v>455</v>
      </c>
      <c r="D445" t="s">
        <v>59</v>
      </c>
      <c r="E445" t="s">
        <v>27</v>
      </c>
      <c r="F445" t="s">
        <v>14</v>
      </c>
      <c r="G445" t="s">
        <v>14</v>
      </c>
      <c r="H445" t="s">
        <v>28</v>
      </c>
      <c r="I445" t="s">
        <v>27</v>
      </c>
      <c r="J445" t="s">
        <v>152</v>
      </c>
      <c r="K445" t="s">
        <v>24</v>
      </c>
      <c r="L445">
        <v>7</v>
      </c>
    </row>
    <row r="446" spans="1:12">
      <c r="A446">
        <v>445</v>
      </c>
      <c r="B446">
        <v>2021</v>
      </c>
      <c r="C446" t="s">
        <v>456</v>
      </c>
      <c r="D446" t="s">
        <v>31</v>
      </c>
      <c r="E446" t="s">
        <v>36</v>
      </c>
      <c r="F446" t="s">
        <v>47</v>
      </c>
      <c r="G446" t="s">
        <v>47</v>
      </c>
      <c r="H446" t="s">
        <v>16</v>
      </c>
      <c r="I446" t="s">
        <v>36</v>
      </c>
      <c r="J446" t="s">
        <v>66</v>
      </c>
      <c r="K446" t="s">
        <v>24</v>
      </c>
      <c r="L446">
        <v>10</v>
      </c>
    </row>
    <row r="447" spans="1:12">
      <c r="A447">
        <v>446</v>
      </c>
      <c r="B447">
        <v>2023</v>
      </c>
      <c r="C447" t="s">
        <v>229</v>
      </c>
      <c r="D447" t="s">
        <v>26</v>
      </c>
      <c r="E447" t="s">
        <v>50</v>
      </c>
      <c r="F447" t="s">
        <v>15</v>
      </c>
      <c r="G447" t="s">
        <v>50</v>
      </c>
      <c r="H447" t="s">
        <v>28</v>
      </c>
      <c r="I447" t="s">
        <v>50</v>
      </c>
      <c r="J447" t="s">
        <v>44</v>
      </c>
      <c r="K447" t="s">
        <v>24</v>
      </c>
      <c r="L447">
        <v>10</v>
      </c>
    </row>
    <row r="448" spans="1:12">
      <c r="A448">
        <v>447</v>
      </c>
      <c r="B448">
        <v>2022</v>
      </c>
      <c r="C448" t="s">
        <v>457</v>
      </c>
      <c r="D448" t="s">
        <v>20</v>
      </c>
      <c r="E448" t="s">
        <v>47</v>
      </c>
      <c r="F448" t="s">
        <v>32</v>
      </c>
      <c r="G448" t="s">
        <v>47</v>
      </c>
      <c r="H448" t="s">
        <v>28</v>
      </c>
      <c r="I448" t="s">
        <v>32</v>
      </c>
      <c r="J448" t="s">
        <v>57</v>
      </c>
      <c r="K448" t="s">
        <v>24</v>
      </c>
      <c r="L448">
        <v>5</v>
      </c>
    </row>
    <row r="449" spans="1:12">
      <c r="A449">
        <v>448</v>
      </c>
      <c r="B449">
        <v>2025</v>
      </c>
      <c r="C449" t="s">
        <v>458</v>
      </c>
      <c r="D449" t="s">
        <v>38</v>
      </c>
      <c r="E449" t="s">
        <v>27</v>
      </c>
      <c r="F449" t="s">
        <v>22</v>
      </c>
      <c r="G449" t="s">
        <v>27</v>
      </c>
      <c r="H449" t="s">
        <v>28</v>
      </c>
      <c r="I449" t="s">
        <v>27</v>
      </c>
      <c r="J449" t="s">
        <v>23</v>
      </c>
      <c r="K449" t="s">
        <v>24</v>
      </c>
      <c r="L449">
        <v>7</v>
      </c>
    </row>
    <row r="450" spans="1:12">
      <c r="A450">
        <v>449</v>
      </c>
      <c r="B450">
        <v>2022</v>
      </c>
      <c r="C450" t="s">
        <v>459</v>
      </c>
      <c r="D450" t="s">
        <v>35</v>
      </c>
      <c r="E450" t="s">
        <v>47</v>
      </c>
      <c r="F450" t="s">
        <v>14</v>
      </c>
      <c r="G450" t="s">
        <v>47</v>
      </c>
      <c r="H450" t="s">
        <v>28</v>
      </c>
      <c r="I450" t="s">
        <v>14</v>
      </c>
      <c r="J450" t="s">
        <v>29</v>
      </c>
      <c r="K450" t="s">
        <v>24</v>
      </c>
      <c r="L450">
        <v>8</v>
      </c>
    </row>
    <row r="451" spans="1:12">
      <c r="A451">
        <v>450</v>
      </c>
      <c r="B451">
        <v>2025</v>
      </c>
      <c r="C451" t="s">
        <v>163</v>
      </c>
      <c r="D451" t="s">
        <v>35</v>
      </c>
      <c r="E451" t="s">
        <v>50</v>
      </c>
      <c r="F451" t="s">
        <v>14</v>
      </c>
      <c r="G451" t="s">
        <v>14</v>
      </c>
      <c r="H451" t="s">
        <v>16</v>
      </c>
      <c r="I451" t="s">
        <v>50</v>
      </c>
      <c r="J451" t="s">
        <v>33</v>
      </c>
      <c r="K451" t="s">
        <v>18</v>
      </c>
      <c r="L451">
        <v>105</v>
      </c>
    </row>
    <row r="452" spans="1:12">
      <c r="A452">
        <v>451</v>
      </c>
      <c r="B452">
        <v>2021</v>
      </c>
      <c r="C452" t="s">
        <v>316</v>
      </c>
      <c r="D452" t="s">
        <v>49</v>
      </c>
      <c r="E452" t="s">
        <v>47</v>
      </c>
      <c r="F452" t="s">
        <v>56</v>
      </c>
      <c r="G452" t="s">
        <v>56</v>
      </c>
      <c r="H452" t="s">
        <v>28</v>
      </c>
      <c r="I452" t="s">
        <v>56</v>
      </c>
      <c r="J452" t="s">
        <v>23</v>
      </c>
      <c r="K452" t="s">
        <v>24</v>
      </c>
      <c r="L452">
        <v>6</v>
      </c>
    </row>
    <row r="453" spans="1:12">
      <c r="A453">
        <v>452</v>
      </c>
      <c r="B453">
        <v>2021</v>
      </c>
      <c r="C453" t="s">
        <v>460</v>
      </c>
      <c r="D453" t="s">
        <v>31</v>
      </c>
      <c r="E453" t="s">
        <v>56</v>
      </c>
      <c r="F453" t="s">
        <v>22</v>
      </c>
      <c r="G453" t="s">
        <v>56</v>
      </c>
      <c r="H453" t="s">
        <v>28</v>
      </c>
      <c r="I453" t="s">
        <v>22</v>
      </c>
      <c r="J453" t="s">
        <v>81</v>
      </c>
      <c r="K453" t="s">
        <v>24</v>
      </c>
      <c r="L453">
        <v>8</v>
      </c>
    </row>
    <row r="454" spans="1:12">
      <c r="A454">
        <v>453</v>
      </c>
      <c r="B454">
        <v>2025</v>
      </c>
      <c r="C454" t="s">
        <v>219</v>
      </c>
      <c r="D454" t="s">
        <v>31</v>
      </c>
      <c r="E454" t="s">
        <v>15</v>
      </c>
      <c r="F454" t="s">
        <v>47</v>
      </c>
      <c r="G454" t="s">
        <v>15</v>
      </c>
      <c r="H454" t="s">
        <v>16</v>
      </c>
      <c r="I454" t="s">
        <v>47</v>
      </c>
      <c r="J454" t="s">
        <v>74</v>
      </c>
      <c r="K454" t="s">
        <v>24</v>
      </c>
      <c r="L454">
        <v>2</v>
      </c>
    </row>
    <row r="455" spans="1:12">
      <c r="A455">
        <v>454</v>
      </c>
      <c r="B455">
        <v>2023</v>
      </c>
      <c r="C455" t="s">
        <v>461</v>
      </c>
      <c r="D455" t="s">
        <v>20</v>
      </c>
      <c r="E455" t="s">
        <v>22</v>
      </c>
      <c r="F455" t="s">
        <v>56</v>
      </c>
      <c r="G455" t="s">
        <v>56</v>
      </c>
      <c r="H455" t="s">
        <v>28</v>
      </c>
      <c r="I455" t="s">
        <v>56</v>
      </c>
      <c r="J455" t="s">
        <v>90</v>
      </c>
      <c r="K455" t="s">
        <v>24</v>
      </c>
      <c r="L455">
        <v>5</v>
      </c>
    </row>
    <row r="456" spans="1:12">
      <c r="A456">
        <v>455</v>
      </c>
      <c r="B456">
        <v>2023</v>
      </c>
      <c r="C456" t="s">
        <v>388</v>
      </c>
      <c r="D456" t="s">
        <v>38</v>
      </c>
      <c r="E456" t="s">
        <v>50</v>
      </c>
      <c r="F456" t="s">
        <v>36</v>
      </c>
      <c r="G456" t="s">
        <v>36</v>
      </c>
      <c r="H456" t="s">
        <v>28</v>
      </c>
      <c r="I456" t="s">
        <v>50</v>
      </c>
      <c r="J456" t="s">
        <v>39</v>
      </c>
      <c r="K456" t="s">
        <v>18</v>
      </c>
      <c r="L456">
        <v>17</v>
      </c>
    </row>
    <row r="457" spans="1:12">
      <c r="A457">
        <v>456</v>
      </c>
      <c r="B457">
        <v>2023</v>
      </c>
      <c r="C457" t="s">
        <v>462</v>
      </c>
      <c r="D457" t="s">
        <v>20</v>
      </c>
      <c r="E457" t="s">
        <v>21</v>
      </c>
      <c r="F457" t="s">
        <v>22</v>
      </c>
      <c r="G457" t="s">
        <v>21</v>
      </c>
      <c r="H457" t="s">
        <v>28</v>
      </c>
      <c r="I457" t="s">
        <v>21</v>
      </c>
      <c r="J457" t="s">
        <v>17</v>
      </c>
      <c r="K457" t="s">
        <v>18</v>
      </c>
      <c r="L457">
        <v>120</v>
      </c>
    </row>
    <row r="458" spans="1:12">
      <c r="A458">
        <v>457</v>
      </c>
      <c r="B458">
        <v>2021</v>
      </c>
      <c r="C458" t="s">
        <v>463</v>
      </c>
      <c r="D458" t="s">
        <v>13</v>
      </c>
      <c r="E458" t="s">
        <v>14</v>
      </c>
      <c r="F458" t="s">
        <v>32</v>
      </c>
      <c r="G458" t="s">
        <v>14</v>
      </c>
      <c r="H458" t="s">
        <v>16</v>
      </c>
      <c r="I458" t="s">
        <v>32</v>
      </c>
      <c r="J458" t="s">
        <v>90</v>
      </c>
      <c r="K458" t="s">
        <v>18</v>
      </c>
      <c r="L458">
        <v>11</v>
      </c>
    </row>
    <row r="459" spans="1:12">
      <c r="A459">
        <v>458</v>
      </c>
      <c r="B459">
        <v>2022</v>
      </c>
      <c r="C459" t="s">
        <v>464</v>
      </c>
      <c r="D459" t="s">
        <v>49</v>
      </c>
      <c r="E459" t="s">
        <v>22</v>
      </c>
      <c r="F459" t="s">
        <v>15</v>
      </c>
      <c r="G459" t="s">
        <v>15</v>
      </c>
      <c r="H459" t="s">
        <v>16</v>
      </c>
      <c r="I459" t="s">
        <v>22</v>
      </c>
      <c r="J459" t="s">
        <v>152</v>
      </c>
      <c r="K459" t="s">
        <v>18</v>
      </c>
      <c r="L459">
        <v>4</v>
      </c>
    </row>
    <row r="460" spans="1:12">
      <c r="A460">
        <v>459</v>
      </c>
      <c r="B460">
        <v>2023</v>
      </c>
      <c r="C460" t="s">
        <v>252</v>
      </c>
      <c r="D460" t="s">
        <v>43</v>
      </c>
      <c r="E460" t="s">
        <v>56</v>
      </c>
      <c r="F460" t="s">
        <v>47</v>
      </c>
      <c r="G460" t="s">
        <v>47</v>
      </c>
      <c r="H460" t="s">
        <v>28</v>
      </c>
      <c r="I460" t="s">
        <v>47</v>
      </c>
      <c r="J460" t="s">
        <v>29</v>
      </c>
      <c r="K460" t="s">
        <v>18</v>
      </c>
      <c r="L460">
        <v>76</v>
      </c>
    </row>
    <row r="461" spans="1:12">
      <c r="A461">
        <v>460</v>
      </c>
      <c r="B461">
        <v>2025</v>
      </c>
      <c r="C461" t="s">
        <v>465</v>
      </c>
      <c r="D461" t="s">
        <v>31</v>
      </c>
      <c r="E461" t="s">
        <v>32</v>
      </c>
      <c r="F461" t="s">
        <v>36</v>
      </c>
      <c r="G461" t="s">
        <v>36</v>
      </c>
      <c r="H461" t="s">
        <v>28</v>
      </c>
      <c r="I461" t="s">
        <v>36</v>
      </c>
      <c r="J461" t="s">
        <v>23</v>
      </c>
      <c r="K461" t="s">
        <v>18</v>
      </c>
      <c r="L461">
        <v>104</v>
      </c>
    </row>
    <row r="462" spans="1:12">
      <c r="A462">
        <v>461</v>
      </c>
      <c r="B462">
        <v>2023</v>
      </c>
      <c r="C462" t="s">
        <v>466</v>
      </c>
      <c r="D462" t="s">
        <v>59</v>
      </c>
      <c r="E462" t="s">
        <v>56</v>
      </c>
      <c r="F462" t="s">
        <v>32</v>
      </c>
      <c r="G462" t="s">
        <v>32</v>
      </c>
      <c r="H462" t="s">
        <v>16</v>
      </c>
      <c r="I462" t="s">
        <v>32</v>
      </c>
      <c r="J462" t="s">
        <v>87</v>
      </c>
      <c r="K462" t="s">
        <v>18</v>
      </c>
      <c r="L462">
        <v>67</v>
      </c>
    </row>
    <row r="463" spans="1:12">
      <c r="A463">
        <v>462</v>
      </c>
      <c r="B463">
        <v>2023</v>
      </c>
      <c r="C463" t="s">
        <v>467</v>
      </c>
      <c r="D463" t="s">
        <v>13</v>
      </c>
      <c r="E463" t="s">
        <v>47</v>
      </c>
      <c r="F463" t="s">
        <v>36</v>
      </c>
      <c r="G463" t="s">
        <v>47</v>
      </c>
      <c r="H463" t="s">
        <v>28</v>
      </c>
      <c r="I463" t="s">
        <v>36</v>
      </c>
      <c r="J463" t="s">
        <v>53</v>
      </c>
      <c r="K463" t="s">
        <v>18</v>
      </c>
      <c r="L463">
        <v>99</v>
      </c>
    </row>
    <row r="464" spans="1:12">
      <c r="A464">
        <v>463</v>
      </c>
      <c r="B464">
        <v>2023</v>
      </c>
      <c r="C464" t="s">
        <v>468</v>
      </c>
      <c r="D464" t="s">
        <v>38</v>
      </c>
      <c r="E464" t="s">
        <v>50</v>
      </c>
      <c r="F464" t="s">
        <v>22</v>
      </c>
      <c r="G464" t="s">
        <v>50</v>
      </c>
      <c r="H464" t="s">
        <v>28</v>
      </c>
      <c r="I464" t="s">
        <v>50</v>
      </c>
      <c r="J464" t="s">
        <v>74</v>
      </c>
      <c r="K464" t="s">
        <v>24</v>
      </c>
      <c r="L464">
        <v>7</v>
      </c>
    </row>
    <row r="465" spans="1:12">
      <c r="A465">
        <v>464</v>
      </c>
      <c r="B465">
        <v>2024</v>
      </c>
      <c r="C465" t="s">
        <v>469</v>
      </c>
      <c r="D465" t="s">
        <v>46</v>
      </c>
      <c r="E465" t="s">
        <v>32</v>
      </c>
      <c r="F465" t="s">
        <v>22</v>
      </c>
      <c r="G465" t="s">
        <v>22</v>
      </c>
      <c r="H465" t="s">
        <v>16</v>
      </c>
      <c r="I465" t="s">
        <v>22</v>
      </c>
      <c r="J465" t="s">
        <v>95</v>
      </c>
      <c r="K465" t="s">
        <v>24</v>
      </c>
      <c r="L465">
        <v>5</v>
      </c>
    </row>
    <row r="466" spans="1:12">
      <c r="A466">
        <v>465</v>
      </c>
      <c r="B466">
        <v>2023</v>
      </c>
      <c r="C466" t="s">
        <v>470</v>
      </c>
      <c r="D466" t="s">
        <v>20</v>
      </c>
      <c r="E466" t="s">
        <v>32</v>
      </c>
      <c r="F466" t="s">
        <v>22</v>
      </c>
      <c r="G466" t="s">
        <v>32</v>
      </c>
      <c r="H466" t="s">
        <v>16</v>
      </c>
      <c r="I466" t="s">
        <v>32</v>
      </c>
      <c r="J466" t="s">
        <v>53</v>
      </c>
      <c r="K466" t="s">
        <v>18</v>
      </c>
      <c r="L466">
        <v>82</v>
      </c>
    </row>
    <row r="467" spans="1:12">
      <c r="A467">
        <v>466</v>
      </c>
      <c r="B467">
        <v>2024</v>
      </c>
      <c r="C467" t="s">
        <v>471</v>
      </c>
      <c r="D467" t="s">
        <v>49</v>
      </c>
      <c r="E467" t="s">
        <v>15</v>
      </c>
      <c r="F467" t="s">
        <v>47</v>
      </c>
      <c r="G467" t="s">
        <v>15</v>
      </c>
      <c r="H467" t="s">
        <v>28</v>
      </c>
      <c r="I467" t="s">
        <v>15</v>
      </c>
      <c r="J467" t="s">
        <v>29</v>
      </c>
      <c r="K467" t="s">
        <v>18</v>
      </c>
      <c r="L467">
        <v>69</v>
      </c>
    </row>
    <row r="468" spans="1:12">
      <c r="A468">
        <v>467</v>
      </c>
      <c r="B468">
        <v>2021</v>
      </c>
      <c r="C468" t="s">
        <v>472</v>
      </c>
      <c r="D468" t="s">
        <v>49</v>
      </c>
      <c r="E468" t="s">
        <v>15</v>
      </c>
      <c r="F468" t="s">
        <v>50</v>
      </c>
      <c r="G468" t="s">
        <v>15</v>
      </c>
      <c r="H468" t="s">
        <v>28</v>
      </c>
      <c r="I468" t="s">
        <v>15</v>
      </c>
      <c r="J468" t="s">
        <v>95</v>
      </c>
      <c r="K468" t="s">
        <v>18</v>
      </c>
      <c r="L468">
        <v>20</v>
      </c>
    </row>
    <row r="469" spans="1:12">
      <c r="A469">
        <v>468</v>
      </c>
      <c r="B469">
        <v>2022</v>
      </c>
      <c r="C469" t="s">
        <v>473</v>
      </c>
      <c r="D469" t="s">
        <v>31</v>
      </c>
      <c r="E469" t="s">
        <v>56</v>
      </c>
      <c r="F469" t="s">
        <v>32</v>
      </c>
      <c r="G469" t="s">
        <v>32</v>
      </c>
      <c r="H469" t="s">
        <v>28</v>
      </c>
      <c r="I469" t="s">
        <v>32</v>
      </c>
      <c r="J469" t="s">
        <v>76</v>
      </c>
      <c r="K469" t="s">
        <v>18</v>
      </c>
      <c r="L469">
        <v>43</v>
      </c>
    </row>
    <row r="470" spans="1:12">
      <c r="A470">
        <v>469</v>
      </c>
      <c r="B470">
        <v>2022</v>
      </c>
      <c r="C470" t="s">
        <v>474</v>
      </c>
      <c r="D470" t="s">
        <v>35</v>
      </c>
      <c r="E470" t="s">
        <v>14</v>
      </c>
      <c r="F470" t="s">
        <v>15</v>
      </c>
      <c r="G470" t="s">
        <v>15</v>
      </c>
      <c r="H470" t="s">
        <v>16</v>
      </c>
      <c r="I470" t="s">
        <v>15</v>
      </c>
      <c r="J470" t="s">
        <v>39</v>
      </c>
      <c r="K470" t="s">
        <v>18</v>
      </c>
      <c r="L470">
        <v>115</v>
      </c>
    </row>
    <row r="471" spans="1:12">
      <c r="A471">
        <v>470</v>
      </c>
      <c r="B471">
        <v>2024</v>
      </c>
      <c r="C471" t="s">
        <v>475</v>
      </c>
      <c r="D471" t="s">
        <v>20</v>
      </c>
      <c r="E471" t="s">
        <v>14</v>
      </c>
      <c r="F471" t="s">
        <v>21</v>
      </c>
      <c r="G471" t="s">
        <v>14</v>
      </c>
      <c r="H471" t="s">
        <v>28</v>
      </c>
      <c r="I471" t="s">
        <v>21</v>
      </c>
      <c r="J471" t="s">
        <v>95</v>
      </c>
      <c r="K471" t="s">
        <v>18</v>
      </c>
      <c r="L471">
        <v>26</v>
      </c>
    </row>
    <row r="472" spans="1:12">
      <c r="A472">
        <v>471</v>
      </c>
      <c r="B472">
        <v>2021</v>
      </c>
      <c r="C472" t="s">
        <v>476</v>
      </c>
      <c r="D472" t="s">
        <v>49</v>
      </c>
      <c r="E472" t="s">
        <v>36</v>
      </c>
      <c r="F472" t="s">
        <v>22</v>
      </c>
      <c r="G472" t="s">
        <v>22</v>
      </c>
      <c r="H472" t="s">
        <v>28</v>
      </c>
      <c r="I472" t="s">
        <v>22</v>
      </c>
      <c r="J472" t="s">
        <v>81</v>
      </c>
      <c r="K472" t="s">
        <v>18</v>
      </c>
      <c r="L472">
        <v>81</v>
      </c>
    </row>
    <row r="473" spans="1:12">
      <c r="A473">
        <v>472</v>
      </c>
      <c r="B473">
        <v>2025</v>
      </c>
      <c r="C473" t="s">
        <v>477</v>
      </c>
      <c r="D473" t="s">
        <v>38</v>
      </c>
      <c r="E473" t="s">
        <v>36</v>
      </c>
      <c r="F473" t="s">
        <v>21</v>
      </c>
      <c r="G473" t="s">
        <v>21</v>
      </c>
      <c r="H473" t="s">
        <v>28</v>
      </c>
      <c r="I473" t="s">
        <v>21</v>
      </c>
      <c r="J473" t="s">
        <v>66</v>
      </c>
      <c r="K473" t="s">
        <v>24</v>
      </c>
      <c r="L473">
        <v>1</v>
      </c>
    </row>
    <row r="474" spans="1:12">
      <c r="A474">
        <v>473</v>
      </c>
      <c r="B474">
        <v>2022</v>
      </c>
      <c r="C474" t="s">
        <v>478</v>
      </c>
      <c r="D474" t="s">
        <v>38</v>
      </c>
      <c r="E474" t="s">
        <v>32</v>
      </c>
      <c r="F474" t="s">
        <v>56</v>
      </c>
      <c r="G474" t="s">
        <v>32</v>
      </c>
      <c r="H474" t="s">
        <v>16</v>
      </c>
      <c r="I474" t="s">
        <v>56</v>
      </c>
      <c r="J474" t="s">
        <v>62</v>
      </c>
      <c r="K474" t="s">
        <v>18</v>
      </c>
      <c r="L474">
        <v>51</v>
      </c>
    </row>
    <row r="475" spans="1:12">
      <c r="A475">
        <v>474</v>
      </c>
      <c r="B475">
        <v>2021</v>
      </c>
      <c r="C475" t="s">
        <v>479</v>
      </c>
      <c r="D475" t="s">
        <v>31</v>
      </c>
      <c r="E475" t="s">
        <v>50</v>
      </c>
      <c r="F475" t="s">
        <v>47</v>
      </c>
      <c r="G475" t="s">
        <v>50</v>
      </c>
      <c r="H475" t="s">
        <v>28</v>
      </c>
      <c r="I475" t="s">
        <v>50</v>
      </c>
      <c r="J475" t="s">
        <v>95</v>
      </c>
      <c r="K475" t="s">
        <v>18</v>
      </c>
      <c r="L475">
        <v>64</v>
      </c>
    </row>
    <row r="476" spans="1:12">
      <c r="A476">
        <v>475</v>
      </c>
      <c r="B476">
        <v>2025</v>
      </c>
      <c r="C476" t="s">
        <v>480</v>
      </c>
      <c r="D476" t="s">
        <v>20</v>
      </c>
      <c r="E476" t="s">
        <v>56</v>
      </c>
      <c r="F476" t="s">
        <v>14</v>
      </c>
      <c r="G476" t="s">
        <v>56</v>
      </c>
      <c r="H476" t="s">
        <v>28</v>
      </c>
      <c r="I476" t="s">
        <v>56</v>
      </c>
      <c r="J476" t="s">
        <v>23</v>
      </c>
      <c r="K476" t="s">
        <v>18</v>
      </c>
      <c r="L476">
        <v>17</v>
      </c>
    </row>
    <row r="477" spans="1:12">
      <c r="A477">
        <v>476</v>
      </c>
      <c r="B477">
        <v>2023</v>
      </c>
      <c r="C477" t="s">
        <v>481</v>
      </c>
      <c r="D477" t="s">
        <v>35</v>
      </c>
      <c r="E477" t="s">
        <v>36</v>
      </c>
      <c r="F477" t="s">
        <v>56</v>
      </c>
      <c r="G477" t="s">
        <v>56</v>
      </c>
      <c r="H477" t="s">
        <v>16</v>
      </c>
      <c r="I477" t="s">
        <v>36</v>
      </c>
      <c r="J477" t="s">
        <v>41</v>
      </c>
      <c r="K477" t="s">
        <v>24</v>
      </c>
      <c r="L477">
        <v>3</v>
      </c>
    </row>
    <row r="478" spans="1:12">
      <c r="A478">
        <v>477</v>
      </c>
      <c r="B478">
        <v>2024</v>
      </c>
      <c r="C478" t="s">
        <v>246</v>
      </c>
      <c r="D478" t="s">
        <v>26</v>
      </c>
      <c r="E478" t="s">
        <v>47</v>
      </c>
      <c r="F478" t="s">
        <v>36</v>
      </c>
      <c r="G478" t="s">
        <v>36</v>
      </c>
      <c r="H478" t="s">
        <v>28</v>
      </c>
      <c r="I478" t="s">
        <v>47</v>
      </c>
      <c r="J478" t="s">
        <v>62</v>
      </c>
      <c r="K478" t="s">
        <v>18</v>
      </c>
      <c r="L478">
        <v>70</v>
      </c>
    </row>
    <row r="479" spans="1:12">
      <c r="A479">
        <v>478</v>
      </c>
      <c r="B479">
        <v>2024</v>
      </c>
      <c r="C479" t="s">
        <v>482</v>
      </c>
      <c r="D479" t="s">
        <v>46</v>
      </c>
      <c r="E479" t="s">
        <v>15</v>
      </c>
      <c r="F479" t="s">
        <v>36</v>
      </c>
      <c r="G479" t="s">
        <v>15</v>
      </c>
      <c r="H479" t="s">
        <v>16</v>
      </c>
      <c r="I479" t="s">
        <v>15</v>
      </c>
      <c r="J479" t="s">
        <v>76</v>
      </c>
      <c r="K479" t="s">
        <v>24</v>
      </c>
      <c r="L479">
        <v>5</v>
      </c>
    </row>
    <row r="480" spans="1:12">
      <c r="A480">
        <v>479</v>
      </c>
      <c r="B480">
        <v>2024</v>
      </c>
      <c r="C480" t="s">
        <v>398</v>
      </c>
      <c r="D480" t="s">
        <v>38</v>
      </c>
      <c r="E480" t="s">
        <v>14</v>
      </c>
      <c r="F480" t="s">
        <v>36</v>
      </c>
      <c r="G480" t="s">
        <v>36</v>
      </c>
      <c r="H480" t="s">
        <v>16</v>
      </c>
      <c r="I480" t="s">
        <v>14</v>
      </c>
      <c r="J480" t="s">
        <v>90</v>
      </c>
      <c r="K480" t="s">
        <v>24</v>
      </c>
      <c r="L480">
        <v>10</v>
      </c>
    </row>
    <row r="481" spans="1:12">
      <c r="A481">
        <v>480</v>
      </c>
      <c r="B481">
        <v>2021</v>
      </c>
      <c r="C481" t="s">
        <v>483</v>
      </c>
      <c r="D481" t="s">
        <v>13</v>
      </c>
      <c r="E481" t="s">
        <v>36</v>
      </c>
      <c r="F481" t="s">
        <v>32</v>
      </c>
      <c r="G481" t="s">
        <v>36</v>
      </c>
      <c r="H481" t="s">
        <v>28</v>
      </c>
      <c r="I481" t="s">
        <v>36</v>
      </c>
      <c r="J481" t="s">
        <v>90</v>
      </c>
      <c r="K481" t="s">
        <v>24</v>
      </c>
      <c r="L481">
        <v>6</v>
      </c>
    </row>
    <row r="482" spans="1:12">
      <c r="A482">
        <v>481</v>
      </c>
      <c r="B482">
        <v>2023</v>
      </c>
      <c r="C482" t="s">
        <v>484</v>
      </c>
      <c r="D482" t="s">
        <v>31</v>
      </c>
      <c r="E482" t="s">
        <v>21</v>
      </c>
      <c r="F482" t="s">
        <v>50</v>
      </c>
      <c r="G482" t="s">
        <v>21</v>
      </c>
      <c r="H482" t="s">
        <v>16</v>
      </c>
      <c r="I482" t="s">
        <v>21</v>
      </c>
      <c r="J482" t="s">
        <v>39</v>
      </c>
      <c r="K482" t="s">
        <v>18</v>
      </c>
      <c r="L482">
        <v>26</v>
      </c>
    </row>
    <row r="483" spans="1:12">
      <c r="A483">
        <v>482</v>
      </c>
      <c r="B483">
        <v>2022</v>
      </c>
      <c r="C483" t="s">
        <v>485</v>
      </c>
      <c r="D483" t="s">
        <v>43</v>
      </c>
      <c r="E483" t="s">
        <v>21</v>
      </c>
      <c r="F483" t="s">
        <v>14</v>
      </c>
      <c r="G483" t="s">
        <v>14</v>
      </c>
      <c r="H483" t="s">
        <v>28</v>
      </c>
      <c r="I483" t="s">
        <v>14</v>
      </c>
      <c r="J483" t="s">
        <v>33</v>
      </c>
      <c r="K483" t="s">
        <v>24</v>
      </c>
      <c r="L483">
        <v>4</v>
      </c>
    </row>
    <row r="484" spans="1:12">
      <c r="A484">
        <v>483</v>
      </c>
      <c r="B484">
        <v>2021</v>
      </c>
      <c r="C484" t="s">
        <v>417</v>
      </c>
      <c r="D484" t="s">
        <v>13</v>
      </c>
      <c r="E484" t="s">
        <v>14</v>
      </c>
      <c r="F484" t="s">
        <v>22</v>
      </c>
      <c r="G484" t="s">
        <v>22</v>
      </c>
      <c r="H484" t="s">
        <v>16</v>
      </c>
      <c r="I484" t="s">
        <v>22</v>
      </c>
      <c r="J484" t="s">
        <v>33</v>
      </c>
      <c r="K484" t="s">
        <v>24</v>
      </c>
      <c r="L484">
        <v>9</v>
      </c>
    </row>
    <row r="485" spans="1:12">
      <c r="A485">
        <v>484</v>
      </c>
      <c r="B485">
        <v>2023</v>
      </c>
      <c r="C485" t="s">
        <v>355</v>
      </c>
      <c r="D485" t="s">
        <v>31</v>
      </c>
      <c r="E485" t="s">
        <v>14</v>
      </c>
      <c r="F485" t="s">
        <v>15</v>
      </c>
      <c r="G485" t="s">
        <v>14</v>
      </c>
      <c r="H485" t="s">
        <v>16</v>
      </c>
      <c r="I485" t="s">
        <v>15</v>
      </c>
      <c r="J485" t="s">
        <v>64</v>
      </c>
      <c r="K485" t="s">
        <v>18</v>
      </c>
      <c r="L485">
        <v>67</v>
      </c>
    </row>
    <row r="486" spans="1:12">
      <c r="A486">
        <v>485</v>
      </c>
      <c r="B486">
        <v>2022</v>
      </c>
      <c r="C486" t="s">
        <v>486</v>
      </c>
      <c r="D486" t="s">
        <v>46</v>
      </c>
      <c r="E486" t="s">
        <v>36</v>
      </c>
      <c r="F486" t="s">
        <v>32</v>
      </c>
      <c r="G486" t="s">
        <v>36</v>
      </c>
      <c r="H486" t="s">
        <v>16</v>
      </c>
      <c r="I486" t="s">
        <v>36</v>
      </c>
      <c r="J486" t="s">
        <v>62</v>
      </c>
      <c r="K486" t="s">
        <v>18</v>
      </c>
      <c r="L486">
        <v>72</v>
      </c>
    </row>
    <row r="487" spans="1:12">
      <c r="A487">
        <v>486</v>
      </c>
      <c r="B487">
        <v>2021</v>
      </c>
      <c r="C487" t="s">
        <v>487</v>
      </c>
      <c r="D487" t="s">
        <v>13</v>
      </c>
      <c r="E487" t="s">
        <v>50</v>
      </c>
      <c r="F487" t="s">
        <v>56</v>
      </c>
      <c r="G487" t="s">
        <v>56</v>
      </c>
      <c r="H487" t="s">
        <v>28</v>
      </c>
      <c r="I487" t="s">
        <v>50</v>
      </c>
      <c r="J487" t="s">
        <v>39</v>
      </c>
      <c r="K487" t="s">
        <v>18</v>
      </c>
      <c r="L487">
        <v>71</v>
      </c>
    </row>
    <row r="488" spans="1:12">
      <c r="A488">
        <v>487</v>
      </c>
      <c r="B488">
        <v>2023</v>
      </c>
      <c r="C488" t="s">
        <v>177</v>
      </c>
      <c r="D488" t="s">
        <v>13</v>
      </c>
      <c r="E488" t="s">
        <v>27</v>
      </c>
      <c r="F488" t="s">
        <v>36</v>
      </c>
      <c r="G488" t="s">
        <v>36</v>
      </c>
      <c r="H488" t="s">
        <v>28</v>
      </c>
      <c r="I488" t="s">
        <v>36</v>
      </c>
      <c r="J488" t="s">
        <v>23</v>
      </c>
      <c r="K488" t="s">
        <v>24</v>
      </c>
      <c r="L488">
        <v>6</v>
      </c>
    </row>
    <row r="489" spans="1:12">
      <c r="A489">
        <v>488</v>
      </c>
      <c r="B489">
        <v>2024</v>
      </c>
      <c r="C489" t="s">
        <v>488</v>
      </c>
      <c r="D489" t="s">
        <v>13</v>
      </c>
      <c r="E489" t="s">
        <v>56</v>
      </c>
      <c r="F489" t="s">
        <v>22</v>
      </c>
      <c r="G489" t="s">
        <v>56</v>
      </c>
      <c r="H489" t="s">
        <v>28</v>
      </c>
      <c r="I489" t="s">
        <v>22</v>
      </c>
      <c r="J489" t="s">
        <v>57</v>
      </c>
      <c r="K489" t="s">
        <v>24</v>
      </c>
      <c r="L489">
        <v>8</v>
      </c>
    </row>
    <row r="490" spans="1:12">
      <c r="A490">
        <v>489</v>
      </c>
      <c r="B490">
        <v>2021</v>
      </c>
      <c r="C490" t="s">
        <v>489</v>
      </c>
      <c r="D490" t="s">
        <v>26</v>
      </c>
      <c r="E490" t="s">
        <v>15</v>
      </c>
      <c r="F490" t="s">
        <v>14</v>
      </c>
      <c r="G490" t="s">
        <v>15</v>
      </c>
      <c r="H490" t="s">
        <v>28</v>
      </c>
      <c r="I490" t="s">
        <v>15</v>
      </c>
      <c r="J490" t="s">
        <v>53</v>
      </c>
      <c r="K490" t="s">
        <v>18</v>
      </c>
      <c r="L490">
        <v>28</v>
      </c>
    </row>
    <row r="491" spans="1:12">
      <c r="A491">
        <v>490</v>
      </c>
      <c r="B491">
        <v>2023</v>
      </c>
      <c r="C491" t="s">
        <v>58</v>
      </c>
      <c r="D491" t="s">
        <v>59</v>
      </c>
      <c r="E491" t="s">
        <v>36</v>
      </c>
      <c r="F491" t="s">
        <v>50</v>
      </c>
      <c r="G491" t="s">
        <v>36</v>
      </c>
      <c r="H491" t="s">
        <v>16</v>
      </c>
      <c r="I491" t="s">
        <v>36</v>
      </c>
      <c r="J491" t="s">
        <v>76</v>
      </c>
      <c r="K491" t="s">
        <v>24</v>
      </c>
      <c r="L491">
        <v>3</v>
      </c>
    </row>
    <row r="492" spans="1:12">
      <c r="A492">
        <v>491</v>
      </c>
      <c r="B492">
        <v>2023</v>
      </c>
      <c r="C492" t="s">
        <v>490</v>
      </c>
      <c r="D492" t="s">
        <v>38</v>
      </c>
      <c r="E492" t="s">
        <v>50</v>
      </c>
      <c r="F492" t="s">
        <v>22</v>
      </c>
      <c r="G492" t="s">
        <v>50</v>
      </c>
      <c r="H492" t="s">
        <v>28</v>
      </c>
      <c r="I492" t="s">
        <v>22</v>
      </c>
      <c r="J492" t="s">
        <v>64</v>
      </c>
      <c r="K492" t="s">
        <v>24</v>
      </c>
      <c r="L492">
        <v>10</v>
      </c>
    </row>
    <row r="493" spans="1:12">
      <c r="A493">
        <v>492</v>
      </c>
      <c r="B493">
        <v>2021</v>
      </c>
      <c r="C493" t="s">
        <v>359</v>
      </c>
      <c r="D493" t="s">
        <v>43</v>
      </c>
      <c r="E493" t="s">
        <v>56</v>
      </c>
      <c r="F493" t="s">
        <v>47</v>
      </c>
      <c r="G493" t="s">
        <v>56</v>
      </c>
      <c r="H493" t="s">
        <v>28</v>
      </c>
      <c r="I493" t="s">
        <v>56</v>
      </c>
      <c r="J493" t="s">
        <v>90</v>
      </c>
      <c r="K493" t="s">
        <v>24</v>
      </c>
      <c r="L493">
        <v>1</v>
      </c>
    </row>
    <row r="494" spans="1:12">
      <c r="A494">
        <v>493</v>
      </c>
      <c r="B494">
        <v>2021</v>
      </c>
      <c r="C494" t="s">
        <v>491</v>
      </c>
      <c r="D494" t="s">
        <v>43</v>
      </c>
      <c r="E494" t="s">
        <v>14</v>
      </c>
      <c r="F494" t="s">
        <v>56</v>
      </c>
      <c r="G494" t="s">
        <v>56</v>
      </c>
      <c r="H494" t="s">
        <v>28</v>
      </c>
      <c r="I494" t="s">
        <v>56</v>
      </c>
      <c r="J494" t="s">
        <v>17</v>
      </c>
      <c r="K494" t="s">
        <v>18</v>
      </c>
      <c r="L494">
        <v>96</v>
      </c>
    </row>
    <row r="495" spans="1:12">
      <c r="A495">
        <v>494</v>
      </c>
      <c r="B495">
        <v>2024</v>
      </c>
      <c r="C495" t="s">
        <v>256</v>
      </c>
      <c r="D495" t="s">
        <v>49</v>
      </c>
      <c r="E495" t="s">
        <v>14</v>
      </c>
      <c r="F495" t="s">
        <v>15</v>
      </c>
      <c r="G495" t="s">
        <v>14</v>
      </c>
      <c r="H495" t="s">
        <v>28</v>
      </c>
      <c r="I495" t="s">
        <v>14</v>
      </c>
      <c r="J495" t="s">
        <v>81</v>
      </c>
      <c r="K495" t="s">
        <v>18</v>
      </c>
      <c r="L495">
        <v>20</v>
      </c>
    </row>
    <row r="496" spans="1:12">
      <c r="A496">
        <v>495</v>
      </c>
      <c r="B496">
        <v>2024</v>
      </c>
      <c r="C496" t="s">
        <v>103</v>
      </c>
      <c r="D496" t="s">
        <v>59</v>
      </c>
      <c r="E496" t="s">
        <v>47</v>
      </c>
      <c r="F496" t="s">
        <v>36</v>
      </c>
      <c r="G496" t="s">
        <v>47</v>
      </c>
      <c r="H496" t="s">
        <v>16</v>
      </c>
      <c r="I496" t="s">
        <v>36</v>
      </c>
      <c r="J496" t="s">
        <v>53</v>
      </c>
      <c r="K496" t="s">
        <v>24</v>
      </c>
      <c r="L496">
        <v>3</v>
      </c>
    </row>
    <row r="497" spans="1:12">
      <c r="A497">
        <v>496</v>
      </c>
      <c r="B497">
        <v>2021</v>
      </c>
      <c r="C497" t="s">
        <v>492</v>
      </c>
      <c r="D497" t="s">
        <v>59</v>
      </c>
      <c r="E497" t="s">
        <v>47</v>
      </c>
      <c r="F497" t="s">
        <v>14</v>
      </c>
      <c r="G497" t="s">
        <v>14</v>
      </c>
      <c r="H497" t="s">
        <v>28</v>
      </c>
      <c r="I497" t="s">
        <v>47</v>
      </c>
      <c r="J497" t="s">
        <v>41</v>
      </c>
      <c r="K497" t="s">
        <v>24</v>
      </c>
      <c r="L497">
        <v>3</v>
      </c>
    </row>
    <row r="498" spans="1:12">
      <c r="A498">
        <v>497</v>
      </c>
      <c r="B498">
        <v>2025</v>
      </c>
      <c r="C498" t="s">
        <v>246</v>
      </c>
      <c r="D498" t="s">
        <v>13</v>
      </c>
      <c r="E498" t="s">
        <v>22</v>
      </c>
      <c r="F498" t="s">
        <v>47</v>
      </c>
      <c r="G498" t="s">
        <v>47</v>
      </c>
      <c r="H498" t="s">
        <v>16</v>
      </c>
      <c r="I498" t="s">
        <v>22</v>
      </c>
      <c r="J498" t="s">
        <v>95</v>
      </c>
      <c r="K498" t="s">
        <v>18</v>
      </c>
      <c r="L498">
        <v>35</v>
      </c>
    </row>
    <row r="499" spans="1:12">
      <c r="A499">
        <v>498</v>
      </c>
      <c r="B499">
        <v>2025</v>
      </c>
      <c r="C499" t="s">
        <v>285</v>
      </c>
      <c r="D499" t="s">
        <v>26</v>
      </c>
      <c r="E499" t="s">
        <v>21</v>
      </c>
      <c r="F499" t="s">
        <v>50</v>
      </c>
      <c r="G499" t="s">
        <v>50</v>
      </c>
      <c r="H499" t="s">
        <v>28</v>
      </c>
      <c r="I499" t="s">
        <v>50</v>
      </c>
      <c r="J499" t="s">
        <v>57</v>
      </c>
      <c r="K499" t="s">
        <v>18</v>
      </c>
      <c r="L499">
        <v>42</v>
      </c>
    </row>
    <row r="500" spans="1:12">
      <c r="A500">
        <v>499</v>
      </c>
      <c r="B500">
        <v>2021</v>
      </c>
      <c r="C500" t="s">
        <v>493</v>
      </c>
      <c r="D500" t="s">
        <v>38</v>
      </c>
      <c r="E500" t="s">
        <v>15</v>
      </c>
      <c r="F500" t="s">
        <v>27</v>
      </c>
      <c r="G500" t="s">
        <v>27</v>
      </c>
      <c r="H500" t="s">
        <v>28</v>
      </c>
      <c r="I500" t="s">
        <v>15</v>
      </c>
      <c r="J500" t="s">
        <v>76</v>
      </c>
      <c r="K500" t="s">
        <v>18</v>
      </c>
      <c r="L500">
        <v>119</v>
      </c>
    </row>
    <row r="501" spans="1:12">
      <c r="A501">
        <v>500</v>
      </c>
      <c r="B501">
        <v>2023</v>
      </c>
      <c r="C501" t="s">
        <v>494</v>
      </c>
      <c r="D501" t="s">
        <v>35</v>
      </c>
      <c r="E501" t="s">
        <v>27</v>
      </c>
      <c r="F501" t="s">
        <v>21</v>
      </c>
      <c r="G501" t="s">
        <v>27</v>
      </c>
      <c r="H501" t="s">
        <v>16</v>
      </c>
      <c r="I501" t="s">
        <v>27</v>
      </c>
      <c r="J501" t="s">
        <v>90</v>
      </c>
      <c r="K501" t="s">
        <v>18</v>
      </c>
      <c r="L501">
        <v>112</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1"/>
  <sheetViews>
    <sheetView workbookViewId="0">
      <pane ySplit="1" topLeftCell="A486" activePane="bottomLeft" state="frozen"/>
      <selection pane="bottomLeft" activeCell="E502" sqref="E502"/>
    </sheetView>
  </sheetViews>
  <sheetFormatPr defaultRowHeight="14.5"/>
  <cols>
    <col min="1" max="3" width="12" customWidth="1"/>
    <col min="4" max="4" width="18" customWidth="1"/>
    <col min="5" max="8" width="12" customWidth="1"/>
    <col min="9" max="9" width="13" customWidth="1"/>
  </cols>
  <sheetData>
    <row r="1" spans="1:9">
      <c r="A1" s="3" t="s">
        <v>0</v>
      </c>
      <c r="B1" s="3" t="s">
        <v>1</v>
      </c>
      <c r="C1" s="3" t="s">
        <v>495</v>
      </c>
      <c r="D1" s="3" t="s">
        <v>496</v>
      </c>
      <c r="E1" s="3" t="s">
        <v>18</v>
      </c>
      <c r="F1" s="3" t="s">
        <v>497</v>
      </c>
      <c r="G1" s="3" t="s">
        <v>498</v>
      </c>
      <c r="H1" s="3" t="s">
        <v>499</v>
      </c>
      <c r="I1" s="3" t="s">
        <v>500</v>
      </c>
    </row>
    <row r="2" spans="1:9">
      <c r="A2">
        <v>1</v>
      </c>
      <c r="B2">
        <v>2021</v>
      </c>
      <c r="C2" t="s">
        <v>56</v>
      </c>
      <c r="D2" t="s">
        <v>17</v>
      </c>
      <c r="E2">
        <v>115</v>
      </c>
      <c r="F2">
        <v>44</v>
      </c>
      <c r="G2">
        <v>7</v>
      </c>
      <c r="H2">
        <v>0</v>
      </c>
      <c r="I2">
        <v>261.36</v>
      </c>
    </row>
    <row r="3" spans="1:9">
      <c r="A3">
        <v>2</v>
      </c>
      <c r="B3">
        <v>2021</v>
      </c>
      <c r="C3" t="s">
        <v>56</v>
      </c>
      <c r="D3" t="s">
        <v>66</v>
      </c>
      <c r="E3">
        <v>26</v>
      </c>
      <c r="F3">
        <v>32</v>
      </c>
      <c r="G3">
        <v>6</v>
      </c>
      <c r="H3">
        <v>2</v>
      </c>
      <c r="I3">
        <v>81.25</v>
      </c>
    </row>
    <row r="4" spans="1:9">
      <c r="A4">
        <v>3</v>
      </c>
      <c r="B4">
        <v>2023</v>
      </c>
      <c r="C4" t="s">
        <v>15</v>
      </c>
      <c r="D4" t="s">
        <v>23</v>
      </c>
      <c r="E4">
        <v>36</v>
      </c>
      <c r="F4">
        <v>66</v>
      </c>
      <c r="G4">
        <v>9</v>
      </c>
      <c r="H4">
        <v>0</v>
      </c>
      <c r="I4">
        <v>54.55</v>
      </c>
    </row>
    <row r="5" spans="1:9">
      <c r="A5">
        <v>4</v>
      </c>
      <c r="B5">
        <v>2021</v>
      </c>
      <c r="C5" t="s">
        <v>32</v>
      </c>
      <c r="D5" t="s">
        <v>62</v>
      </c>
      <c r="E5">
        <v>8</v>
      </c>
      <c r="F5">
        <v>10</v>
      </c>
      <c r="G5">
        <v>2</v>
      </c>
      <c r="H5">
        <v>0</v>
      </c>
      <c r="I5">
        <v>80</v>
      </c>
    </row>
    <row r="6" spans="1:9">
      <c r="A6">
        <v>5</v>
      </c>
      <c r="B6">
        <v>2021</v>
      </c>
      <c r="C6" t="s">
        <v>15</v>
      </c>
      <c r="D6" t="s">
        <v>66</v>
      </c>
      <c r="E6">
        <v>6</v>
      </c>
      <c r="F6">
        <v>39</v>
      </c>
      <c r="G6">
        <v>1</v>
      </c>
      <c r="H6">
        <v>0</v>
      </c>
      <c r="I6">
        <v>15.38</v>
      </c>
    </row>
    <row r="7" spans="1:9">
      <c r="A7">
        <v>6</v>
      </c>
      <c r="B7">
        <v>2022</v>
      </c>
      <c r="C7" t="s">
        <v>21</v>
      </c>
      <c r="D7" t="s">
        <v>41</v>
      </c>
      <c r="E7">
        <v>84</v>
      </c>
      <c r="F7">
        <v>39</v>
      </c>
      <c r="G7">
        <v>10</v>
      </c>
      <c r="H7">
        <v>5</v>
      </c>
      <c r="I7">
        <v>215.38</v>
      </c>
    </row>
    <row r="8" spans="1:9">
      <c r="A8">
        <v>7</v>
      </c>
      <c r="B8">
        <v>2023</v>
      </c>
      <c r="C8" t="s">
        <v>21</v>
      </c>
      <c r="D8" t="s">
        <v>87</v>
      </c>
      <c r="E8">
        <v>111</v>
      </c>
      <c r="F8">
        <v>42</v>
      </c>
      <c r="G8">
        <v>10</v>
      </c>
      <c r="H8">
        <v>6</v>
      </c>
      <c r="I8">
        <v>264.29000000000002</v>
      </c>
    </row>
    <row r="9" spans="1:9">
      <c r="A9">
        <v>8</v>
      </c>
      <c r="B9">
        <v>2023</v>
      </c>
      <c r="C9" t="s">
        <v>22</v>
      </c>
      <c r="D9" t="s">
        <v>41</v>
      </c>
      <c r="E9">
        <v>25</v>
      </c>
      <c r="F9">
        <v>70</v>
      </c>
      <c r="G9">
        <v>5</v>
      </c>
      <c r="H9">
        <v>2</v>
      </c>
      <c r="I9">
        <v>35.71</v>
      </c>
    </row>
    <row r="10" spans="1:9">
      <c r="A10">
        <v>9</v>
      </c>
      <c r="B10">
        <v>2023</v>
      </c>
      <c r="C10" t="s">
        <v>50</v>
      </c>
      <c r="D10" t="s">
        <v>23</v>
      </c>
      <c r="E10">
        <v>11</v>
      </c>
      <c r="F10">
        <v>16</v>
      </c>
      <c r="G10">
        <v>2</v>
      </c>
      <c r="H10">
        <v>1</v>
      </c>
      <c r="I10">
        <v>68.75</v>
      </c>
    </row>
    <row r="11" spans="1:9">
      <c r="A11">
        <v>10</v>
      </c>
      <c r="B11">
        <v>2023</v>
      </c>
      <c r="C11" t="s">
        <v>47</v>
      </c>
      <c r="D11" t="s">
        <v>23</v>
      </c>
      <c r="E11">
        <v>1</v>
      </c>
      <c r="F11">
        <v>7</v>
      </c>
      <c r="G11">
        <v>0</v>
      </c>
      <c r="H11">
        <v>0</v>
      </c>
      <c r="I11">
        <v>14.29</v>
      </c>
    </row>
    <row r="12" spans="1:9">
      <c r="A12">
        <v>11</v>
      </c>
      <c r="B12">
        <v>2021</v>
      </c>
      <c r="C12" t="s">
        <v>15</v>
      </c>
      <c r="D12" t="s">
        <v>81</v>
      </c>
      <c r="E12">
        <v>100</v>
      </c>
      <c r="F12">
        <v>67</v>
      </c>
      <c r="G12">
        <v>11</v>
      </c>
      <c r="H12">
        <v>2</v>
      </c>
      <c r="I12">
        <v>149.25</v>
      </c>
    </row>
    <row r="13" spans="1:9">
      <c r="A13">
        <v>12</v>
      </c>
      <c r="B13">
        <v>2021</v>
      </c>
      <c r="C13" t="s">
        <v>14</v>
      </c>
      <c r="D13" t="s">
        <v>57</v>
      </c>
      <c r="E13">
        <v>90</v>
      </c>
      <c r="F13">
        <v>50</v>
      </c>
      <c r="G13">
        <v>10</v>
      </c>
      <c r="H13">
        <v>4</v>
      </c>
      <c r="I13">
        <v>180</v>
      </c>
    </row>
    <row r="14" spans="1:9">
      <c r="A14">
        <v>13</v>
      </c>
      <c r="B14">
        <v>2023</v>
      </c>
      <c r="C14" t="s">
        <v>22</v>
      </c>
      <c r="D14" t="s">
        <v>152</v>
      </c>
      <c r="E14">
        <v>103</v>
      </c>
      <c r="F14">
        <v>40</v>
      </c>
      <c r="G14">
        <v>0</v>
      </c>
      <c r="H14">
        <v>4</v>
      </c>
      <c r="I14">
        <v>257.5</v>
      </c>
    </row>
    <row r="15" spans="1:9">
      <c r="A15">
        <v>14</v>
      </c>
      <c r="B15">
        <v>2025</v>
      </c>
      <c r="C15" t="s">
        <v>32</v>
      </c>
      <c r="D15" t="s">
        <v>87</v>
      </c>
      <c r="E15">
        <v>28</v>
      </c>
      <c r="F15">
        <v>40</v>
      </c>
      <c r="G15">
        <v>2</v>
      </c>
      <c r="H15">
        <v>4</v>
      </c>
      <c r="I15">
        <v>70</v>
      </c>
    </row>
    <row r="16" spans="1:9">
      <c r="A16">
        <v>15</v>
      </c>
      <c r="B16">
        <v>2025</v>
      </c>
      <c r="C16" t="s">
        <v>32</v>
      </c>
      <c r="D16" t="s">
        <v>29</v>
      </c>
      <c r="E16">
        <v>46</v>
      </c>
      <c r="F16">
        <v>16</v>
      </c>
      <c r="G16">
        <v>6</v>
      </c>
      <c r="H16">
        <v>5</v>
      </c>
      <c r="I16">
        <v>287.5</v>
      </c>
    </row>
    <row r="17" spans="1:9">
      <c r="A17">
        <v>16</v>
      </c>
      <c r="B17">
        <v>2025</v>
      </c>
      <c r="C17" t="s">
        <v>50</v>
      </c>
      <c r="D17" t="s">
        <v>95</v>
      </c>
      <c r="E17">
        <v>61</v>
      </c>
      <c r="F17">
        <v>58</v>
      </c>
      <c r="G17">
        <v>9</v>
      </c>
      <c r="H17">
        <v>2</v>
      </c>
      <c r="I17">
        <v>105.17</v>
      </c>
    </row>
    <row r="18" spans="1:9">
      <c r="A18">
        <v>17</v>
      </c>
      <c r="B18">
        <v>2021</v>
      </c>
      <c r="C18" t="s">
        <v>32</v>
      </c>
      <c r="D18" t="s">
        <v>53</v>
      </c>
      <c r="E18">
        <v>114</v>
      </c>
      <c r="F18">
        <v>47</v>
      </c>
      <c r="G18">
        <v>8</v>
      </c>
      <c r="H18">
        <v>2</v>
      </c>
      <c r="I18">
        <v>242.55</v>
      </c>
    </row>
    <row r="19" spans="1:9">
      <c r="A19">
        <v>18</v>
      </c>
      <c r="B19">
        <v>2021</v>
      </c>
      <c r="C19" t="s">
        <v>22</v>
      </c>
      <c r="D19" t="s">
        <v>29</v>
      </c>
      <c r="E19">
        <v>17</v>
      </c>
      <c r="F19">
        <v>30</v>
      </c>
      <c r="G19">
        <v>4</v>
      </c>
      <c r="H19">
        <v>1</v>
      </c>
      <c r="I19">
        <v>56.67</v>
      </c>
    </row>
    <row r="20" spans="1:9">
      <c r="A20">
        <v>19</v>
      </c>
      <c r="B20">
        <v>2025</v>
      </c>
      <c r="C20" t="s">
        <v>27</v>
      </c>
      <c r="D20" t="s">
        <v>74</v>
      </c>
      <c r="E20">
        <v>20</v>
      </c>
      <c r="F20">
        <v>23</v>
      </c>
      <c r="G20">
        <v>5</v>
      </c>
      <c r="H20">
        <v>1</v>
      </c>
      <c r="I20">
        <v>86.96</v>
      </c>
    </row>
    <row r="21" spans="1:9">
      <c r="A21">
        <v>20</v>
      </c>
      <c r="B21">
        <v>2024</v>
      </c>
      <c r="C21" t="s">
        <v>36</v>
      </c>
      <c r="D21" t="s">
        <v>23</v>
      </c>
      <c r="E21">
        <v>11</v>
      </c>
      <c r="F21">
        <v>20</v>
      </c>
      <c r="G21">
        <v>2</v>
      </c>
      <c r="H21">
        <v>1</v>
      </c>
      <c r="I21">
        <v>55</v>
      </c>
    </row>
    <row r="22" spans="1:9">
      <c r="A22">
        <v>21</v>
      </c>
      <c r="B22">
        <v>2022</v>
      </c>
      <c r="C22" t="s">
        <v>14</v>
      </c>
      <c r="D22" t="s">
        <v>81</v>
      </c>
      <c r="E22">
        <v>105</v>
      </c>
      <c r="F22">
        <v>57</v>
      </c>
      <c r="G22">
        <v>4</v>
      </c>
      <c r="H22">
        <v>7</v>
      </c>
      <c r="I22">
        <v>184.21</v>
      </c>
    </row>
    <row r="23" spans="1:9">
      <c r="A23">
        <v>22</v>
      </c>
      <c r="B23">
        <v>2025</v>
      </c>
      <c r="C23" t="s">
        <v>15</v>
      </c>
      <c r="D23" t="s">
        <v>29</v>
      </c>
      <c r="E23">
        <v>13</v>
      </c>
      <c r="F23">
        <v>29</v>
      </c>
      <c r="G23">
        <v>2</v>
      </c>
      <c r="H23">
        <v>1</v>
      </c>
      <c r="I23">
        <v>44.83</v>
      </c>
    </row>
    <row r="24" spans="1:9">
      <c r="A24">
        <v>23</v>
      </c>
      <c r="B24">
        <v>2024</v>
      </c>
      <c r="C24" t="s">
        <v>14</v>
      </c>
      <c r="D24" t="s">
        <v>90</v>
      </c>
      <c r="E24">
        <v>77</v>
      </c>
      <c r="F24">
        <v>39</v>
      </c>
      <c r="G24">
        <v>9</v>
      </c>
      <c r="H24">
        <v>3</v>
      </c>
      <c r="I24">
        <v>197.44</v>
      </c>
    </row>
    <row r="25" spans="1:9">
      <c r="A25">
        <v>24</v>
      </c>
      <c r="B25">
        <v>2025</v>
      </c>
      <c r="C25" t="s">
        <v>50</v>
      </c>
      <c r="D25" t="s">
        <v>95</v>
      </c>
      <c r="E25">
        <v>87</v>
      </c>
      <c r="F25">
        <v>34</v>
      </c>
      <c r="G25">
        <v>0</v>
      </c>
      <c r="H25">
        <v>5</v>
      </c>
      <c r="I25">
        <v>255.88</v>
      </c>
    </row>
    <row r="26" spans="1:9">
      <c r="A26">
        <v>25</v>
      </c>
      <c r="B26">
        <v>2021</v>
      </c>
      <c r="C26" t="s">
        <v>21</v>
      </c>
      <c r="D26" t="s">
        <v>116</v>
      </c>
      <c r="E26">
        <v>64</v>
      </c>
      <c r="F26">
        <v>22</v>
      </c>
      <c r="G26">
        <v>9</v>
      </c>
      <c r="H26">
        <v>7</v>
      </c>
      <c r="I26">
        <v>290.91000000000003</v>
      </c>
    </row>
    <row r="27" spans="1:9">
      <c r="A27">
        <v>26</v>
      </c>
      <c r="B27">
        <v>2022</v>
      </c>
      <c r="C27" t="s">
        <v>56</v>
      </c>
      <c r="D27" t="s">
        <v>39</v>
      </c>
      <c r="E27">
        <v>125</v>
      </c>
      <c r="F27">
        <v>54</v>
      </c>
      <c r="G27">
        <v>7</v>
      </c>
      <c r="H27">
        <v>2</v>
      </c>
      <c r="I27">
        <v>231.48</v>
      </c>
    </row>
    <row r="28" spans="1:9">
      <c r="A28">
        <v>27</v>
      </c>
      <c r="B28">
        <v>2023</v>
      </c>
      <c r="C28" t="s">
        <v>27</v>
      </c>
      <c r="D28" t="s">
        <v>66</v>
      </c>
      <c r="E28">
        <v>4</v>
      </c>
      <c r="F28">
        <v>33</v>
      </c>
      <c r="G28">
        <v>1</v>
      </c>
      <c r="H28">
        <v>0</v>
      </c>
      <c r="I28">
        <v>12.12</v>
      </c>
    </row>
    <row r="29" spans="1:9">
      <c r="A29">
        <v>28</v>
      </c>
      <c r="B29">
        <v>2025</v>
      </c>
      <c r="C29" t="s">
        <v>15</v>
      </c>
      <c r="D29" t="s">
        <v>74</v>
      </c>
      <c r="E29">
        <v>95</v>
      </c>
      <c r="F29">
        <v>33</v>
      </c>
      <c r="G29">
        <v>10</v>
      </c>
      <c r="H29">
        <v>3</v>
      </c>
      <c r="I29">
        <v>287.88</v>
      </c>
    </row>
    <row r="30" spans="1:9">
      <c r="A30">
        <v>29</v>
      </c>
      <c r="B30">
        <v>2023</v>
      </c>
      <c r="C30" t="s">
        <v>22</v>
      </c>
      <c r="D30" t="s">
        <v>64</v>
      </c>
      <c r="E30">
        <v>56</v>
      </c>
      <c r="F30">
        <v>27</v>
      </c>
      <c r="G30">
        <v>9</v>
      </c>
      <c r="H30">
        <v>6</v>
      </c>
      <c r="I30">
        <v>207.41</v>
      </c>
    </row>
    <row r="31" spans="1:9">
      <c r="A31">
        <v>30</v>
      </c>
      <c r="B31">
        <v>2025</v>
      </c>
      <c r="C31" t="s">
        <v>56</v>
      </c>
      <c r="D31" t="s">
        <v>76</v>
      </c>
      <c r="E31">
        <v>54</v>
      </c>
      <c r="F31">
        <v>36</v>
      </c>
      <c r="G31">
        <v>6</v>
      </c>
      <c r="H31">
        <v>0</v>
      </c>
      <c r="I31">
        <v>150</v>
      </c>
    </row>
    <row r="32" spans="1:9">
      <c r="A32">
        <v>31</v>
      </c>
      <c r="B32">
        <v>2021</v>
      </c>
      <c r="C32" t="s">
        <v>50</v>
      </c>
      <c r="D32" t="s">
        <v>41</v>
      </c>
      <c r="E32">
        <v>100</v>
      </c>
      <c r="F32">
        <v>45</v>
      </c>
      <c r="G32">
        <v>9</v>
      </c>
      <c r="H32">
        <v>8</v>
      </c>
      <c r="I32">
        <v>222.22</v>
      </c>
    </row>
    <row r="33" spans="1:9">
      <c r="A33">
        <v>32</v>
      </c>
      <c r="B33">
        <v>2024</v>
      </c>
      <c r="C33" t="s">
        <v>36</v>
      </c>
      <c r="D33" t="s">
        <v>33</v>
      </c>
      <c r="E33">
        <v>28</v>
      </c>
      <c r="F33">
        <v>18</v>
      </c>
      <c r="G33">
        <v>7</v>
      </c>
      <c r="H33">
        <v>0</v>
      </c>
      <c r="I33">
        <v>155.56</v>
      </c>
    </row>
    <row r="34" spans="1:9">
      <c r="A34">
        <v>33</v>
      </c>
      <c r="B34">
        <v>2025</v>
      </c>
      <c r="C34" t="s">
        <v>22</v>
      </c>
      <c r="D34" t="s">
        <v>152</v>
      </c>
      <c r="E34">
        <v>10</v>
      </c>
      <c r="F34">
        <v>55</v>
      </c>
      <c r="G34">
        <v>2</v>
      </c>
      <c r="H34">
        <v>1</v>
      </c>
      <c r="I34">
        <v>18.18</v>
      </c>
    </row>
    <row r="35" spans="1:9">
      <c r="A35">
        <v>34</v>
      </c>
      <c r="B35">
        <v>2022</v>
      </c>
      <c r="C35" t="s">
        <v>36</v>
      </c>
      <c r="D35" t="s">
        <v>33</v>
      </c>
      <c r="E35">
        <v>37</v>
      </c>
      <c r="F35">
        <v>29</v>
      </c>
      <c r="G35">
        <v>7</v>
      </c>
      <c r="H35">
        <v>3</v>
      </c>
      <c r="I35">
        <v>127.59</v>
      </c>
    </row>
    <row r="36" spans="1:9">
      <c r="A36">
        <v>35</v>
      </c>
      <c r="B36">
        <v>2022</v>
      </c>
      <c r="C36" t="s">
        <v>15</v>
      </c>
      <c r="D36" t="s">
        <v>53</v>
      </c>
      <c r="E36">
        <v>42</v>
      </c>
      <c r="F36">
        <v>64</v>
      </c>
      <c r="G36">
        <v>6</v>
      </c>
      <c r="H36">
        <v>4</v>
      </c>
      <c r="I36">
        <v>65.62</v>
      </c>
    </row>
    <row r="37" spans="1:9">
      <c r="A37">
        <v>36</v>
      </c>
      <c r="B37">
        <v>2022</v>
      </c>
      <c r="C37" t="s">
        <v>50</v>
      </c>
      <c r="D37" t="s">
        <v>33</v>
      </c>
      <c r="E37">
        <v>59</v>
      </c>
      <c r="F37">
        <v>23</v>
      </c>
      <c r="G37">
        <v>10</v>
      </c>
      <c r="H37">
        <v>6</v>
      </c>
      <c r="I37">
        <v>256.52</v>
      </c>
    </row>
    <row r="38" spans="1:9">
      <c r="A38">
        <v>37</v>
      </c>
      <c r="B38">
        <v>2021</v>
      </c>
      <c r="C38" t="s">
        <v>21</v>
      </c>
      <c r="D38" t="s">
        <v>152</v>
      </c>
      <c r="E38">
        <v>11</v>
      </c>
      <c r="F38">
        <v>19</v>
      </c>
      <c r="G38">
        <v>2</v>
      </c>
      <c r="H38">
        <v>1</v>
      </c>
      <c r="I38">
        <v>57.89</v>
      </c>
    </row>
    <row r="39" spans="1:9">
      <c r="A39">
        <v>38</v>
      </c>
      <c r="B39">
        <v>2021</v>
      </c>
      <c r="C39" t="s">
        <v>27</v>
      </c>
      <c r="D39" t="s">
        <v>41</v>
      </c>
      <c r="E39">
        <v>82</v>
      </c>
      <c r="F39">
        <v>57</v>
      </c>
      <c r="G39">
        <v>7</v>
      </c>
      <c r="H39">
        <v>0</v>
      </c>
      <c r="I39">
        <v>143.86000000000001</v>
      </c>
    </row>
    <row r="40" spans="1:9">
      <c r="A40">
        <v>39</v>
      </c>
      <c r="B40">
        <v>2023</v>
      </c>
      <c r="C40" t="s">
        <v>27</v>
      </c>
      <c r="D40" t="s">
        <v>76</v>
      </c>
      <c r="E40">
        <v>58</v>
      </c>
      <c r="F40">
        <v>30</v>
      </c>
      <c r="G40">
        <v>1</v>
      </c>
      <c r="H40">
        <v>4</v>
      </c>
      <c r="I40">
        <v>193.33</v>
      </c>
    </row>
    <row r="41" spans="1:9">
      <c r="A41">
        <v>40</v>
      </c>
      <c r="B41">
        <v>2023</v>
      </c>
      <c r="C41" t="s">
        <v>56</v>
      </c>
      <c r="D41" t="s">
        <v>39</v>
      </c>
      <c r="E41">
        <v>5</v>
      </c>
      <c r="F41">
        <v>20</v>
      </c>
      <c r="G41">
        <v>1</v>
      </c>
      <c r="H41">
        <v>0</v>
      </c>
      <c r="I41">
        <v>25</v>
      </c>
    </row>
    <row r="42" spans="1:9">
      <c r="A42">
        <v>41</v>
      </c>
      <c r="B42">
        <v>2024</v>
      </c>
      <c r="C42" t="s">
        <v>56</v>
      </c>
      <c r="D42" t="s">
        <v>64</v>
      </c>
      <c r="E42">
        <v>130</v>
      </c>
      <c r="F42">
        <v>54</v>
      </c>
      <c r="G42">
        <v>9</v>
      </c>
      <c r="H42">
        <v>2</v>
      </c>
      <c r="I42">
        <v>240.74</v>
      </c>
    </row>
    <row r="43" spans="1:9">
      <c r="A43">
        <v>42</v>
      </c>
      <c r="B43">
        <v>2025</v>
      </c>
      <c r="C43" t="s">
        <v>32</v>
      </c>
      <c r="D43" t="s">
        <v>23</v>
      </c>
      <c r="E43">
        <v>11</v>
      </c>
      <c r="F43">
        <v>53</v>
      </c>
      <c r="G43">
        <v>2</v>
      </c>
      <c r="H43">
        <v>1</v>
      </c>
      <c r="I43">
        <v>20.75</v>
      </c>
    </row>
    <row r="44" spans="1:9">
      <c r="A44">
        <v>43</v>
      </c>
      <c r="B44">
        <v>2025</v>
      </c>
      <c r="C44" t="s">
        <v>56</v>
      </c>
      <c r="D44" t="s">
        <v>62</v>
      </c>
      <c r="E44">
        <v>20</v>
      </c>
      <c r="F44">
        <v>24</v>
      </c>
      <c r="G44">
        <v>2</v>
      </c>
      <c r="H44">
        <v>2</v>
      </c>
      <c r="I44">
        <v>83.33</v>
      </c>
    </row>
    <row r="45" spans="1:9">
      <c r="A45">
        <v>44</v>
      </c>
      <c r="B45">
        <v>2022</v>
      </c>
      <c r="C45" t="s">
        <v>14</v>
      </c>
      <c r="D45" t="s">
        <v>74</v>
      </c>
      <c r="E45">
        <v>79</v>
      </c>
      <c r="F45">
        <v>44</v>
      </c>
      <c r="G45">
        <v>11</v>
      </c>
      <c r="H45">
        <v>7</v>
      </c>
      <c r="I45">
        <v>179.55</v>
      </c>
    </row>
    <row r="46" spans="1:9">
      <c r="A46">
        <v>45</v>
      </c>
      <c r="B46">
        <v>2021</v>
      </c>
      <c r="C46" t="s">
        <v>15</v>
      </c>
      <c r="D46" t="s">
        <v>39</v>
      </c>
      <c r="E46">
        <v>57</v>
      </c>
      <c r="F46">
        <v>20</v>
      </c>
      <c r="G46">
        <v>2</v>
      </c>
      <c r="H46">
        <v>3</v>
      </c>
      <c r="I46">
        <v>285</v>
      </c>
    </row>
    <row r="47" spans="1:9">
      <c r="A47">
        <v>46</v>
      </c>
      <c r="B47">
        <v>2022</v>
      </c>
      <c r="C47" t="s">
        <v>14</v>
      </c>
      <c r="D47" t="s">
        <v>90</v>
      </c>
      <c r="E47">
        <v>1</v>
      </c>
      <c r="F47">
        <v>37</v>
      </c>
      <c r="G47">
        <v>0</v>
      </c>
      <c r="H47">
        <v>0</v>
      </c>
      <c r="I47">
        <v>2.7</v>
      </c>
    </row>
    <row r="48" spans="1:9">
      <c r="A48">
        <v>47</v>
      </c>
      <c r="B48">
        <v>2023</v>
      </c>
      <c r="C48" t="s">
        <v>47</v>
      </c>
      <c r="D48" t="s">
        <v>23</v>
      </c>
      <c r="E48">
        <v>15</v>
      </c>
      <c r="F48">
        <v>5</v>
      </c>
      <c r="G48">
        <v>3</v>
      </c>
      <c r="H48">
        <v>1</v>
      </c>
      <c r="I48">
        <v>300</v>
      </c>
    </row>
    <row r="49" spans="1:9">
      <c r="A49">
        <v>48</v>
      </c>
      <c r="B49">
        <v>2023</v>
      </c>
      <c r="C49" t="s">
        <v>50</v>
      </c>
      <c r="D49" t="s">
        <v>116</v>
      </c>
      <c r="E49">
        <v>104</v>
      </c>
      <c r="F49">
        <v>63</v>
      </c>
      <c r="G49">
        <v>7</v>
      </c>
      <c r="H49">
        <v>1</v>
      </c>
      <c r="I49">
        <v>165.08</v>
      </c>
    </row>
    <row r="50" spans="1:9">
      <c r="A50">
        <v>49</v>
      </c>
      <c r="B50">
        <v>2024</v>
      </c>
      <c r="C50" t="s">
        <v>50</v>
      </c>
      <c r="D50" t="s">
        <v>90</v>
      </c>
      <c r="E50">
        <v>7</v>
      </c>
      <c r="F50">
        <v>5</v>
      </c>
      <c r="G50">
        <v>1</v>
      </c>
      <c r="H50">
        <v>0</v>
      </c>
      <c r="I50">
        <v>140</v>
      </c>
    </row>
    <row r="51" spans="1:9">
      <c r="A51">
        <v>50</v>
      </c>
      <c r="B51">
        <v>2021</v>
      </c>
      <c r="C51" t="s">
        <v>50</v>
      </c>
      <c r="D51" t="s">
        <v>23</v>
      </c>
      <c r="E51">
        <v>6</v>
      </c>
      <c r="F51">
        <v>31</v>
      </c>
      <c r="G51">
        <v>1</v>
      </c>
      <c r="H51">
        <v>0</v>
      </c>
      <c r="I51">
        <v>19.350000000000001</v>
      </c>
    </row>
    <row r="52" spans="1:9">
      <c r="A52">
        <v>51</v>
      </c>
      <c r="B52">
        <v>2025</v>
      </c>
      <c r="C52" t="s">
        <v>14</v>
      </c>
      <c r="D52" t="s">
        <v>57</v>
      </c>
      <c r="E52">
        <v>4</v>
      </c>
      <c r="F52">
        <v>9</v>
      </c>
      <c r="G52">
        <v>0</v>
      </c>
      <c r="H52">
        <v>0</v>
      </c>
      <c r="I52">
        <v>44.44</v>
      </c>
    </row>
    <row r="53" spans="1:9">
      <c r="A53">
        <v>52</v>
      </c>
      <c r="B53">
        <v>2024</v>
      </c>
      <c r="C53" t="s">
        <v>56</v>
      </c>
      <c r="D53" t="s">
        <v>64</v>
      </c>
      <c r="E53">
        <v>6</v>
      </c>
      <c r="F53">
        <v>11</v>
      </c>
      <c r="G53">
        <v>1</v>
      </c>
      <c r="H53">
        <v>0</v>
      </c>
      <c r="I53">
        <v>54.55</v>
      </c>
    </row>
    <row r="54" spans="1:9">
      <c r="A54">
        <v>53</v>
      </c>
      <c r="B54">
        <v>2024</v>
      </c>
      <c r="C54" t="s">
        <v>27</v>
      </c>
      <c r="D54" t="s">
        <v>53</v>
      </c>
      <c r="E54">
        <v>58</v>
      </c>
      <c r="F54">
        <v>27</v>
      </c>
      <c r="G54">
        <v>11</v>
      </c>
      <c r="H54">
        <v>5</v>
      </c>
      <c r="I54">
        <v>214.81</v>
      </c>
    </row>
    <row r="55" spans="1:9">
      <c r="A55">
        <v>54</v>
      </c>
      <c r="B55">
        <v>2024</v>
      </c>
      <c r="C55" t="s">
        <v>14</v>
      </c>
      <c r="D55" t="s">
        <v>64</v>
      </c>
      <c r="E55">
        <v>82</v>
      </c>
      <c r="F55">
        <v>43</v>
      </c>
      <c r="G55">
        <v>5</v>
      </c>
      <c r="H55">
        <v>6</v>
      </c>
      <c r="I55">
        <v>190.7</v>
      </c>
    </row>
    <row r="56" spans="1:9">
      <c r="A56">
        <v>55</v>
      </c>
      <c r="B56">
        <v>2021</v>
      </c>
      <c r="C56" t="s">
        <v>21</v>
      </c>
      <c r="D56" t="s">
        <v>74</v>
      </c>
      <c r="E56">
        <v>18</v>
      </c>
      <c r="F56">
        <v>13</v>
      </c>
      <c r="G56">
        <v>4</v>
      </c>
      <c r="H56">
        <v>1</v>
      </c>
      <c r="I56">
        <v>138.46</v>
      </c>
    </row>
    <row r="57" spans="1:9">
      <c r="A57">
        <v>56</v>
      </c>
      <c r="B57">
        <v>2021</v>
      </c>
      <c r="C57" t="s">
        <v>21</v>
      </c>
      <c r="D57" t="s">
        <v>44</v>
      </c>
      <c r="E57">
        <v>105</v>
      </c>
      <c r="F57">
        <v>47</v>
      </c>
      <c r="G57">
        <v>8</v>
      </c>
      <c r="H57">
        <v>3</v>
      </c>
      <c r="I57">
        <v>223.4</v>
      </c>
    </row>
    <row r="58" spans="1:9">
      <c r="A58">
        <v>57</v>
      </c>
      <c r="B58">
        <v>2021</v>
      </c>
      <c r="C58" t="s">
        <v>22</v>
      </c>
      <c r="D58" t="s">
        <v>90</v>
      </c>
      <c r="E58">
        <v>6</v>
      </c>
      <c r="F58">
        <v>12</v>
      </c>
      <c r="G58">
        <v>1</v>
      </c>
      <c r="H58">
        <v>0</v>
      </c>
      <c r="I58">
        <v>50</v>
      </c>
    </row>
    <row r="59" spans="1:9">
      <c r="A59">
        <v>58</v>
      </c>
      <c r="B59">
        <v>2023</v>
      </c>
      <c r="C59" t="s">
        <v>21</v>
      </c>
      <c r="D59" t="s">
        <v>116</v>
      </c>
      <c r="E59">
        <v>54</v>
      </c>
      <c r="F59">
        <v>41</v>
      </c>
      <c r="G59">
        <v>9</v>
      </c>
      <c r="H59">
        <v>5</v>
      </c>
      <c r="I59">
        <v>131.71</v>
      </c>
    </row>
    <row r="60" spans="1:9">
      <c r="A60">
        <v>59</v>
      </c>
      <c r="B60">
        <v>2024</v>
      </c>
      <c r="C60" t="s">
        <v>15</v>
      </c>
      <c r="D60" t="s">
        <v>152</v>
      </c>
      <c r="E60">
        <v>33</v>
      </c>
      <c r="F60">
        <v>50</v>
      </c>
      <c r="G60">
        <v>8</v>
      </c>
      <c r="H60">
        <v>2</v>
      </c>
      <c r="I60">
        <v>66</v>
      </c>
    </row>
    <row r="61" spans="1:9">
      <c r="A61">
        <v>60</v>
      </c>
      <c r="B61">
        <v>2023</v>
      </c>
      <c r="C61" t="s">
        <v>36</v>
      </c>
      <c r="D61" t="s">
        <v>116</v>
      </c>
      <c r="E61">
        <v>46</v>
      </c>
      <c r="F61">
        <v>68</v>
      </c>
      <c r="G61">
        <v>9</v>
      </c>
      <c r="H61">
        <v>3</v>
      </c>
      <c r="I61">
        <v>67.650000000000006</v>
      </c>
    </row>
    <row r="62" spans="1:9">
      <c r="A62">
        <v>61</v>
      </c>
      <c r="B62">
        <v>2021</v>
      </c>
      <c r="C62" t="s">
        <v>15</v>
      </c>
      <c r="D62" t="s">
        <v>66</v>
      </c>
      <c r="E62">
        <v>3</v>
      </c>
      <c r="F62">
        <v>5</v>
      </c>
      <c r="G62">
        <v>0</v>
      </c>
      <c r="H62">
        <v>0</v>
      </c>
      <c r="I62">
        <v>60</v>
      </c>
    </row>
    <row r="63" spans="1:9">
      <c r="A63">
        <v>62</v>
      </c>
      <c r="B63">
        <v>2024</v>
      </c>
      <c r="C63" t="s">
        <v>21</v>
      </c>
      <c r="D63" t="s">
        <v>66</v>
      </c>
      <c r="E63">
        <v>105</v>
      </c>
      <c r="F63">
        <v>58</v>
      </c>
      <c r="G63">
        <v>0</v>
      </c>
      <c r="H63">
        <v>5</v>
      </c>
      <c r="I63">
        <v>181.03</v>
      </c>
    </row>
    <row r="64" spans="1:9">
      <c r="A64">
        <v>63</v>
      </c>
      <c r="B64">
        <v>2022</v>
      </c>
      <c r="C64" t="s">
        <v>56</v>
      </c>
      <c r="D64" t="s">
        <v>23</v>
      </c>
      <c r="E64">
        <v>1</v>
      </c>
      <c r="F64">
        <v>32</v>
      </c>
      <c r="G64">
        <v>0</v>
      </c>
      <c r="H64">
        <v>0</v>
      </c>
      <c r="I64">
        <v>3.12</v>
      </c>
    </row>
    <row r="65" spans="1:9">
      <c r="A65">
        <v>64</v>
      </c>
      <c r="B65">
        <v>2023</v>
      </c>
      <c r="C65" t="s">
        <v>15</v>
      </c>
      <c r="D65" t="s">
        <v>44</v>
      </c>
      <c r="E65">
        <v>19</v>
      </c>
      <c r="F65">
        <v>13</v>
      </c>
      <c r="G65">
        <v>4</v>
      </c>
      <c r="H65">
        <v>1</v>
      </c>
      <c r="I65">
        <v>146.15</v>
      </c>
    </row>
    <row r="66" spans="1:9">
      <c r="A66">
        <v>65</v>
      </c>
      <c r="B66">
        <v>2023</v>
      </c>
      <c r="C66" t="s">
        <v>36</v>
      </c>
      <c r="D66" t="s">
        <v>81</v>
      </c>
      <c r="E66">
        <v>3</v>
      </c>
      <c r="F66">
        <v>5</v>
      </c>
      <c r="G66">
        <v>0</v>
      </c>
      <c r="H66">
        <v>0</v>
      </c>
      <c r="I66">
        <v>60</v>
      </c>
    </row>
    <row r="67" spans="1:9">
      <c r="A67">
        <v>66</v>
      </c>
      <c r="B67">
        <v>2025</v>
      </c>
      <c r="C67" t="s">
        <v>56</v>
      </c>
      <c r="D67" t="s">
        <v>41</v>
      </c>
      <c r="E67">
        <v>5</v>
      </c>
      <c r="F67">
        <v>8</v>
      </c>
      <c r="G67">
        <v>1</v>
      </c>
      <c r="H67">
        <v>0</v>
      </c>
      <c r="I67">
        <v>62.5</v>
      </c>
    </row>
    <row r="68" spans="1:9">
      <c r="A68">
        <v>67</v>
      </c>
      <c r="B68">
        <v>2022</v>
      </c>
      <c r="C68" t="s">
        <v>56</v>
      </c>
      <c r="D68" t="s">
        <v>116</v>
      </c>
      <c r="E68">
        <v>9</v>
      </c>
      <c r="F68">
        <v>65</v>
      </c>
      <c r="G68">
        <v>2</v>
      </c>
      <c r="H68">
        <v>0</v>
      </c>
      <c r="I68">
        <v>13.85</v>
      </c>
    </row>
    <row r="69" spans="1:9">
      <c r="A69">
        <v>68</v>
      </c>
      <c r="B69">
        <v>2022</v>
      </c>
      <c r="C69" t="s">
        <v>47</v>
      </c>
      <c r="D69" t="s">
        <v>29</v>
      </c>
      <c r="E69">
        <v>85</v>
      </c>
      <c r="F69">
        <v>63</v>
      </c>
      <c r="G69">
        <v>7</v>
      </c>
      <c r="H69">
        <v>6</v>
      </c>
      <c r="I69">
        <v>134.91999999999999</v>
      </c>
    </row>
    <row r="70" spans="1:9">
      <c r="A70">
        <v>69</v>
      </c>
      <c r="B70">
        <v>2023</v>
      </c>
      <c r="C70" t="s">
        <v>14</v>
      </c>
      <c r="D70" t="s">
        <v>152</v>
      </c>
      <c r="E70">
        <v>80</v>
      </c>
      <c r="F70">
        <v>43</v>
      </c>
      <c r="G70">
        <v>8</v>
      </c>
      <c r="H70">
        <v>8</v>
      </c>
      <c r="I70">
        <v>186.05</v>
      </c>
    </row>
    <row r="71" spans="1:9">
      <c r="A71">
        <v>70</v>
      </c>
      <c r="B71">
        <v>2025</v>
      </c>
      <c r="C71" t="s">
        <v>14</v>
      </c>
      <c r="D71" t="s">
        <v>66</v>
      </c>
      <c r="E71">
        <v>90</v>
      </c>
      <c r="F71">
        <v>47</v>
      </c>
      <c r="G71">
        <v>1</v>
      </c>
      <c r="H71">
        <v>2</v>
      </c>
      <c r="I71">
        <v>191.49</v>
      </c>
    </row>
    <row r="72" spans="1:9">
      <c r="A72">
        <v>71</v>
      </c>
      <c r="B72">
        <v>2024</v>
      </c>
      <c r="C72" t="s">
        <v>15</v>
      </c>
      <c r="D72" t="s">
        <v>87</v>
      </c>
      <c r="E72">
        <v>96</v>
      </c>
      <c r="F72">
        <v>48</v>
      </c>
      <c r="G72">
        <v>10</v>
      </c>
      <c r="H72">
        <v>8</v>
      </c>
      <c r="I72">
        <v>200</v>
      </c>
    </row>
    <row r="73" spans="1:9">
      <c r="A73">
        <v>72</v>
      </c>
      <c r="B73">
        <v>2022</v>
      </c>
      <c r="C73" t="s">
        <v>27</v>
      </c>
      <c r="D73" t="s">
        <v>62</v>
      </c>
      <c r="E73">
        <v>47</v>
      </c>
      <c r="F73">
        <v>54</v>
      </c>
      <c r="G73">
        <v>9</v>
      </c>
      <c r="H73">
        <v>1</v>
      </c>
      <c r="I73">
        <v>87.04</v>
      </c>
    </row>
    <row r="74" spans="1:9">
      <c r="A74">
        <v>73</v>
      </c>
      <c r="B74">
        <v>2024</v>
      </c>
      <c r="C74" t="s">
        <v>15</v>
      </c>
      <c r="D74" t="s">
        <v>81</v>
      </c>
      <c r="E74">
        <v>8</v>
      </c>
      <c r="F74">
        <v>9</v>
      </c>
      <c r="G74">
        <v>2</v>
      </c>
      <c r="H74">
        <v>0</v>
      </c>
      <c r="I74">
        <v>88.89</v>
      </c>
    </row>
    <row r="75" spans="1:9">
      <c r="A75">
        <v>74</v>
      </c>
      <c r="B75">
        <v>2022</v>
      </c>
      <c r="C75" t="s">
        <v>47</v>
      </c>
      <c r="D75" t="s">
        <v>95</v>
      </c>
      <c r="E75">
        <v>115</v>
      </c>
      <c r="F75">
        <v>52</v>
      </c>
      <c r="G75">
        <v>4</v>
      </c>
      <c r="H75">
        <v>3</v>
      </c>
      <c r="I75">
        <v>221.15</v>
      </c>
    </row>
    <row r="76" spans="1:9">
      <c r="A76">
        <v>75</v>
      </c>
      <c r="B76">
        <v>2022</v>
      </c>
      <c r="C76" t="s">
        <v>36</v>
      </c>
      <c r="D76" t="s">
        <v>53</v>
      </c>
      <c r="E76">
        <v>14</v>
      </c>
      <c r="F76">
        <v>27</v>
      </c>
      <c r="G76">
        <v>3</v>
      </c>
      <c r="H76">
        <v>0</v>
      </c>
      <c r="I76">
        <v>51.85</v>
      </c>
    </row>
    <row r="77" spans="1:9">
      <c r="A77">
        <v>76</v>
      </c>
      <c r="B77">
        <v>2024</v>
      </c>
      <c r="C77" t="s">
        <v>22</v>
      </c>
      <c r="D77" t="s">
        <v>64</v>
      </c>
      <c r="E77">
        <v>129</v>
      </c>
      <c r="F77">
        <v>61</v>
      </c>
      <c r="G77">
        <v>0</v>
      </c>
      <c r="H77">
        <v>7</v>
      </c>
      <c r="I77">
        <v>211.48</v>
      </c>
    </row>
    <row r="78" spans="1:9">
      <c r="A78">
        <v>77</v>
      </c>
      <c r="B78">
        <v>2025</v>
      </c>
      <c r="C78" t="s">
        <v>36</v>
      </c>
      <c r="D78" t="s">
        <v>29</v>
      </c>
      <c r="E78">
        <v>43</v>
      </c>
      <c r="F78">
        <v>29</v>
      </c>
      <c r="G78">
        <v>7</v>
      </c>
      <c r="H78">
        <v>4</v>
      </c>
      <c r="I78">
        <v>148.28</v>
      </c>
    </row>
    <row r="79" spans="1:9">
      <c r="A79">
        <v>78</v>
      </c>
      <c r="B79">
        <v>2024</v>
      </c>
      <c r="C79" t="s">
        <v>15</v>
      </c>
      <c r="D79" t="s">
        <v>81</v>
      </c>
      <c r="E79">
        <v>12</v>
      </c>
      <c r="F79">
        <v>23</v>
      </c>
      <c r="G79">
        <v>3</v>
      </c>
      <c r="H79">
        <v>1</v>
      </c>
      <c r="I79">
        <v>52.17</v>
      </c>
    </row>
    <row r="80" spans="1:9">
      <c r="A80">
        <v>79</v>
      </c>
      <c r="B80">
        <v>2024</v>
      </c>
      <c r="C80" t="s">
        <v>22</v>
      </c>
      <c r="D80" t="s">
        <v>33</v>
      </c>
      <c r="E80">
        <v>99</v>
      </c>
      <c r="F80">
        <v>63</v>
      </c>
      <c r="G80">
        <v>11</v>
      </c>
      <c r="H80">
        <v>8</v>
      </c>
      <c r="I80">
        <v>157.13999999999999</v>
      </c>
    </row>
    <row r="81" spans="1:9">
      <c r="A81">
        <v>80</v>
      </c>
      <c r="B81">
        <v>2024</v>
      </c>
      <c r="C81" t="s">
        <v>21</v>
      </c>
      <c r="D81" t="s">
        <v>87</v>
      </c>
      <c r="E81">
        <v>11</v>
      </c>
      <c r="F81">
        <v>44</v>
      </c>
      <c r="G81">
        <v>2</v>
      </c>
      <c r="H81">
        <v>1</v>
      </c>
      <c r="I81">
        <v>25</v>
      </c>
    </row>
    <row r="82" spans="1:9">
      <c r="A82">
        <v>81</v>
      </c>
      <c r="B82">
        <v>2024</v>
      </c>
      <c r="C82" t="s">
        <v>56</v>
      </c>
      <c r="D82" t="s">
        <v>76</v>
      </c>
      <c r="E82">
        <v>3</v>
      </c>
      <c r="F82">
        <v>10</v>
      </c>
      <c r="G82">
        <v>0</v>
      </c>
      <c r="H82">
        <v>0</v>
      </c>
      <c r="I82">
        <v>30</v>
      </c>
    </row>
    <row r="83" spans="1:9">
      <c r="A83">
        <v>82</v>
      </c>
      <c r="B83">
        <v>2025</v>
      </c>
      <c r="C83" t="s">
        <v>14</v>
      </c>
      <c r="D83" t="s">
        <v>62</v>
      </c>
      <c r="E83">
        <v>53</v>
      </c>
      <c r="F83">
        <v>44</v>
      </c>
      <c r="G83">
        <v>5</v>
      </c>
      <c r="H83">
        <v>3</v>
      </c>
      <c r="I83">
        <v>120.45</v>
      </c>
    </row>
    <row r="84" spans="1:9">
      <c r="A84">
        <v>83</v>
      </c>
      <c r="B84">
        <v>2021</v>
      </c>
      <c r="C84" t="s">
        <v>22</v>
      </c>
      <c r="D84" t="s">
        <v>53</v>
      </c>
      <c r="E84">
        <v>68</v>
      </c>
      <c r="F84">
        <v>40</v>
      </c>
      <c r="G84">
        <v>5</v>
      </c>
      <c r="H84">
        <v>7</v>
      </c>
      <c r="I84">
        <v>170</v>
      </c>
    </row>
    <row r="85" spans="1:9">
      <c r="A85">
        <v>84</v>
      </c>
      <c r="B85">
        <v>2022</v>
      </c>
      <c r="C85" t="s">
        <v>21</v>
      </c>
      <c r="D85" t="s">
        <v>44</v>
      </c>
      <c r="E85">
        <v>20</v>
      </c>
      <c r="F85">
        <v>24</v>
      </c>
      <c r="G85">
        <v>4</v>
      </c>
      <c r="H85">
        <v>1</v>
      </c>
      <c r="I85">
        <v>83.33</v>
      </c>
    </row>
    <row r="86" spans="1:9">
      <c r="A86">
        <v>85</v>
      </c>
      <c r="B86">
        <v>2021</v>
      </c>
      <c r="C86" t="s">
        <v>14</v>
      </c>
      <c r="D86" t="s">
        <v>90</v>
      </c>
      <c r="E86">
        <v>26</v>
      </c>
      <c r="F86">
        <v>70</v>
      </c>
      <c r="G86">
        <v>3</v>
      </c>
      <c r="H86">
        <v>3</v>
      </c>
      <c r="I86">
        <v>37.14</v>
      </c>
    </row>
    <row r="87" spans="1:9">
      <c r="A87">
        <v>86</v>
      </c>
      <c r="B87">
        <v>2025</v>
      </c>
      <c r="C87" t="s">
        <v>56</v>
      </c>
      <c r="D87" t="s">
        <v>23</v>
      </c>
      <c r="E87">
        <v>69</v>
      </c>
      <c r="F87">
        <v>45</v>
      </c>
      <c r="G87">
        <v>2</v>
      </c>
      <c r="H87">
        <v>4</v>
      </c>
      <c r="I87">
        <v>153.33000000000001</v>
      </c>
    </row>
    <row r="88" spans="1:9">
      <c r="A88">
        <v>87</v>
      </c>
      <c r="B88">
        <v>2023</v>
      </c>
      <c r="C88" t="s">
        <v>50</v>
      </c>
      <c r="D88" t="s">
        <v>95</v>
      </c>
      <c r="E88">
        <v>9</v>
      </c>
      <c r="F88">
        <v>26</v>
      </c>
      <c r="G88">
        <v>2</v>
      </c>
      <c r="H88">
        <v>0</v>
      </c>
      <c r="I88">
        <v>34.619999999999997</v>
      </c>
    </row>
    <row r="89" spans="1:9">
      <c r="A89">
        <v>88</v>
      </c>
      <c r="B89">
        <v>2021</v>
      </c>
      <c r="C89" t="s">
        <v>36</v>
      </c>
      <c r="D89" t="s">
        <v>76</v>
      </c>
      <c r="E89">
        <v>8</v>
      </c>
      <c r="F89">
        <v>11</v>
      </c>
      <c r="G89">
        <v>0</v>
      </c>
      <c r="H89">
        <v>1</v>
      </c>
      <c r="I89">
        <v>72.73</v>
      </c>
    </row>
    <row r="90" spans="1:9">
      <c r="A90">
        <v>89</v>
      </c>
      <c r="B90">
        <v>2023</v>
      </c>
      <c r="C90" t="s">
        <v>14</v>
      </c>
      <c r="D90" t="s">
        <v>17</v>
      </c>
      <c r="E90">
        <v>13</v>
      </c>
      <c r="F90">
        <v>54</v>
      </c>
      <c r="G90">
        <v>1</v>
      </c>
      <c r="H90">
        <v>1</v>
      </c>
      <c r="I90">
        <v>24.07</v>
      </c>
    </row>
    <row r="91" spans="1:9">
      <c r="A91">
        <v>90</v>
      </c>
      <c r="B91">
        <v>2021</v>
      </c>
      <c r="C91" t="s">
        <v>32</v>
      </c>
      <c r="D91" t="s">
        <v>39</v>
      </c>
      <c r="E91">
        <v>91</v>
      </c>
      <c r="F91">
        <v>62</v>
      </c>
      <c r="G91">
        <v>4</v>
      </c>
      <c r="H91">
        <v>5</v>
      </c>
      <c r="I91">
        <v>146.77000000000001</v>
      </c>
    </row>
    <row r="92" spans="1:9">
      <c r="A92">
        <v>91</v>
      </c>
      <c r="B92">
        <v>2023</v>
      </c>
      <c r="C92" t="s">
        <v>22</v>
      </c>
      <c r="D92" t="s">
        <v>23</v>
      </c>
      <c r="E92">
        <v>29</v>
      </c>
      <c r="F92">
        <v>15</v>
      </c>
      <c r="G92">
        <v>7</v>
      </c>
      <c r="H92">
        <v>2</v>
      </c>
      <c r="I92">
        <v>193.33</v>
      </c>
    </row>
    <row r="93" spans="1:9">
      <c r="A93">
        <v>92</v>
      </c>
      <c r="B93">
        <v>2025</v>
      </c>
      <c r="C93" t="s">
        <v>21</v>
      </c>
      <c r="D93" t="s">
        <v>76</v>
      </c>
      <c r="E93">
        <v>29</v>
      </c>
      <c r="F93">
        <v>17</v>
      </c>
      <c r="G93">
        <v>4</v>
      </c>
      <c r="H93">
        <v>3</v>
      </c>
      <c r="I93">
        <v>170.59</v>
      </c>
    </row>
    <row r="94" spans="1:9">
      <c r="A94">
        <v>93</v>
      </c>
      <c r="B94">
        <v>2025</v>
      </c>
      <c r="C94" t="s">
        <v>47</v>
      </c>
      <c r="D94" t="s">
        <v>95</v>
      </c>
      <c r="E94">
        <v>18</v>
      </c>
      <c r="F94">
        <v>33</v>
      </c>
      <c r="G94">
        <v>4</v>
      </c>
      <c r="H94">
        <v>1</v>
      </c>
      <c r="I94">
        <v>54.55</v>
      </c>
    </row>
    <row r="95" spans="1:9">
      <c r="A95">
        <v>94</v>
      </c>
      <c r="B95">
        <v>2025</v>
      </c>
      <c r="C95" t="s">
        <v>56</v>
      </c>
      <c r="D95" t="s">
        <v>41</v>
      </c>
      <c r="E95">
        <v>42</v>
      </c>
      <c r="F95">
        <v>28</v>
      </c>
      <c r="G95">
        <v>10</v>
      </c>
      <c r="H95">
        <v>3</v>
      </c>
      <c r="I95">
        <v>150</v>
      </c>
    </row>
    <row r="96" spans="1:9">
      <c r="A96">
        <v>95</v>
      </c>
      <c r="B96">
        <v>2024</v>
      </c>
      <c r="C96" t="s">
        <v>47</v>
      </c>
      <c r="D96" t="s">
        <v>116</v>
      </c>
      <c r="E96">
        <v>2</v>
      </c>
      <c r="F96">
        <v>8</v>
      </c>
      <c r="G96">
        <v>0</v>
      </c>
      <c r="H96">
        <v>0</v>
      </c>
      <c r="I96">
        <v>25</v>
      </c>
    </row>
    <row r="97" spans="1:9">
      <c r="A97">
        <v>96</v>
      </c>
      <c r="B97">
        <v>2024</v>
      </c>
      <c r="C97" t="s">
        <v>56</v>
      </c>
      <c r="D97" t="s">
        <v>116</v>
      </c>
      <c r="E97">
        <v>43</v>
      </c>
      <c r="F97">
        <v>64</v>
      </c>
      <c r="G97">
        <v>4</v>
      </c>
      <c r="H97">
        <v>5</v>
      </c>
      <c r="I97">
        <v>67.19</v>
      </c>
    </row>
    <row r="98" spans="1:9">
      <c r="A98">
        <v>97</v>
      </c>
      <c r="B98">
        <v>2023</v>
      </c>
      <c r="C98" t="s">
        <v>50</v>
      </c>
      <c r="D98" t="s">
        <v>62</v>
      </c>
      <c r="E98">
        <v>13</v>
      </c>
      <c r="F98">
        <v>21</v>
      </c>
      <c r="G98">
        <v>3</v>
      </c>
      <c r="H98">
        <v>1</v>
      </c>
      <c r="I98">
        <v>61.9</v>
      </c>
    </row>
    <row r="99" spans="1:9">
      <c r="A99">
        <v>98</v>
      </c>
      <c r="B99">
        <v>2023</v>
      </c>
      <c r="C99" t="s">
        <v>56</v>
      </c>
      <c r="D99" t="s">
        <v>23</v>
      </c>
      <c r="E99">
        <v>19</v>
      </c>
      <c r="F99">
        <v>14</v>
      </c>
      <c r="G99">
        <v>4</v>
      </c>
      <c r="H99">
        <v>1</v>
      </c>
      <c r="I99">
        <v>135.71</v>
      </c>
    </row>
    <row r="100" spans="1:9">
      <c r="A100">
        <v>99</v>
      </c>
      <c r="B100">
        <v>2024</v>
      </c>
      <c r="C100" t="s">
        <v>32</v>
      </c>
      <c r="D100" t="s">
        <v>62</v>
      </c>
      <c r="E100">
        <v>61</v>
      </c>
      <c r="F100">
        <v>57</v>
      </c>
      <c r="G100">
        <v>9</v>
      </c>
      <c r="H100">
        <v>3</v>
      </c>
      <c r="I100">
        <v>107.02</v>
      </c>
    </row>
    <row r="101" spans="1:9">
      <c r="A101">
        <v>100</v>
      </c>
      <c r="B101">
        <v>2025</v>
      </c>
      <c r="C101" t="s">
        <v>36</v>
      </c>
      <c r="D101" t="s">
        <v>39</v>
      </c>
      <c r="E101">
        <v>98</v>
      </c>
      <c r="F101">
        <v>66</v>
      </c>
      <c r="G101">
        <v>1</v>
      </c>
      <c r="H101">
        <v>5</v>
      </c>
      <c r="I101">
        <v>148.47999999999999</v>
      </c>
    </row>
    <row r="102" spans="1:9">
      <c r="A102">
        <v>101</v>
      </c>
      <c r="B102">
        <v>2023</v>
      </c>
      <c r="C102" t="s">
        <v>22</v>
      </c>
      <c r="D102" t="s">
        <v>62</v>
      </c>
      <c r="E102">
        <v>111</v>
      </c>
      <c r="F102">
        <v>60</v>
      </c>
      <c r="G102">
        <v>9</v>
      </c>
      <c r="H102">
        <v>5</v>
      </c>
      <c r="I102">
        <v>185</v>
      </c>
    </row>
    <row r="103" spans="1:9">
      <c r="A103">
        <v>102</v>
      </c>
      <c r="B103">
        <v>2025</v>
      </c>
      <c r="C103" t="s">
        <v>36</v>
      </c>
      <c r="D103" t="s">
        <v>95</v>
      </c>
      <c r="E103">
        <v>9</v>
      </c>
      <c r="F103">
        <v>27</v>
      </c>
      <c r="G103">
        <v>2</v>
      </c>
      <c r="H103">
        <v>0</v>
      </c>
      <c r="I103">
        <v>33.33</v>
      </c>
    </row>
    <row r="104" spans="1:9">
      <c r="A104">
        <v>103</v>
      </c>
      <c r="B104">
        <v>2024</v>
      </c>
      <c r="C104" t="s">
        <v>21</v>
      </c>
      <c r="D104" t="s">
        <v>62</v>
      </c>
      <c r="E104">
        <v>83</v>
      </c>
      <c r="F104">
        <v>64</v>
      </c>
      <c r="G104">
        <v>8</v>
      </c>
      <c r="H104">
        <v>1</v>
      </c>
      <c r="I104">
        <v>129.69</v>
      </c>
    </row>
    <row r="105" spans="1:9">
      <c r="A105">
        <v>104</v>
      </c>
      <c r="B105">
        <v>2022</v>
      </c>
      <c r="C105" t="s">
        <v>47</v>
      </c>
      <c r="D105" t="s">
        <v>39</v>
      </c>
      <c r="E105">
        <v>103</v>
      </c>
      <c r="F105">
        <v>44</v>
      </c>
      <c r="G105">
        <v>1</v>
      </c>
      <c r="H105">
        <v>1</v>
      </c>
      <c r="I105">
        <v>234.09</v>
      </c>
    </row>
    <row r="106" spans="1:9">
      <c r="A106">
        <v>105</v>
      </c>
      <c r="B106">
        <v>2022</v>
      </c>
      <c r="C106" t="s">
        <v>50</v>
      </c>
      <c r="D106" t="s">
        <v>41</v>
      </c>
      <c r="E106">
        <v>126</v>
      </c>
      <c r="F106">
        <v>46</v>
      </c>
      <c r="G106">
        <v>10</v>
      </c>
      <c r="H106">
        <v>0</v>
      </c>
      <c r="I106">
        <v>273.91000000000003</v>
      </c>
    </row>
    <row r="107" spans="1:9">
      <c r="A107">
        <v>106</v>
      </c>
      <c r="B107">
        <v>2024</v>
      </c>
      <c r="C107" t="s">
        <v>21</v>
      </c>
      <c r="D107" t="s">
        <v>66</v>
      </c>
      <c r="E107">
        <v>0</v>
      </c>
      <c r="F107">
        <v>22</v>
      </c>
      <c r="G107">
        <v>0</v>
      </c>
      <c r="H107">
        <v>0</v>
      </c>
      <c r="I107">
        <v>0</v>
      </c>
    </row>
    <row r="108" spans="1:9">
      <c r="A108">
        <v>107</v>
      </c>
      <c r="B108">
        <v>2021</v>
      </c>
      <c r="C108" t="s">
        <v>27</v>
      </c>
      <c r="D108" t="s">
        <v>76</v>
      </c>
      <c r="E108">
        <v>49</v>
      </c>
      <c r="F108">
        <v>42</v>
      </c>
      <c r="G108">
        <v>9</v>
      </c>
      <c r="H108">
        <v>5</v>
      </c>
      <c r="I108">
        <v>116.67</v>
      </c>
    </row>
    <row r="109" spans="1:9">
      <c r="A109">
        <v>108</v>
      </c>
      <c r="B109">
        <v>2025</v>
      </c>
      <c r="C109" t="s">
        <v>22</v>
      </c>
      <c r="D109" t="s">
        <v>66</v>
      </c>
      <c r="E109">
        <v>76</v>
      </c>
      <c r="F109">
        <v>45</v>
      </c>
      <c r="G109">
        <v>9</v>
      </c>
      <c r="H109">
        <v>4</v>
      </c>
      <c r="I109">
        <v>168.89</v>
      </c>
    </row>
    <row r="110" spans="1:9">
      <c r="A110">
        <v>109</v>
      </c>
      <c r="B110">
        <v>2021</v>
      </c>
      <c r="C110" t="s">
        <v>32</v>
      </c>
      <c r="D110" t="s">
        <v>57</v>
      </c>
      <c r="E110">
        <v>37</v>
      </c>
      <c r="F110">
        <v>16</v>
      </c>
      <c r="G110">
        <v>0</v>
      </c>
      <c r="H110">
        <v>6</v>
      </c>
      <c r="I110">
        <v>231.25</v>
      </c>
    </row>
    <row r="111" spans="1:9">
      <c r="A111">
        <v>110</v>
      </c>
      <c r="B111">
        <v>2024</v>
      </c>
      <c r="C111" t="s">
        <v>32</v>
      </c>
      <c r="D111" t="s">
        <v>29</v>
      </c>
      <c r="E111">
        <v>7</v>
      </c>
      <c r="F111">
        <v>42</v>
      </c>
      <c r="G111">
        <v>1</v>
      </c>
      <c r="H111">
        <v>0</v>
      </c>
      <c r="I111">
        <v>16.670000000000002</v>
      </c>
    </row>
    <row r="112" spans="1:9">
      <c r="A112">
        <v>111</v>
      </c>
      <c r="B112">
        <v>2024</v>
      </c>
      <c r="C112" t="s">
        <v>14</v>
      </c>
      <c r="D112" t="s">
        <v>87</v>
      </c>
      <c r="E112">
        <v>28</v>
      </c>
      <c r="F112">
        <v>50</v>
      </c>
      <c r="G112">
        <v>4</v>
      </c>
      <c r="H112">
        <v>0</v>
      </c>
      <c r="I112">
        <v>56</v>
      </c>
    </row>
    <row r="113" spans="1:9">
      <c r="A113">
        <v>112</v>
      </c>
      <c r="B113">
        <v>2023</v>
      </c>
      <c r="C113" t="s">
        <v>22</v>
      </c>
      <c r="D113" t="s">
        <v>74</v>
      </c>
      <c r="E113">
        <v>81</v>
      </c>
      <c r="F113">
        <v>55</v>
      </c>
      <c r="G113">
        <v>11</v>
      </c>
      <c r="H113">
        <v>6</v>
      </c>
      <c r="I113">
        <v>147.27000000000001</v>
      </c>
    </row>
    <row r="114" spans="1:9">
      <c r="A114">
        <v>113</v>
      </c>
      <c r="B114">
        <v>2023</v>
      </c>
      <c r="C114" t="s">
        <v>32</v>
      </c>
      <c r="D114" t="s">
        <v>41</v>
      </c>
      <c r="E114">
        <v>54</v>
      </c>
      <c r="F114">
        <v>60</v>
      </c>
      <c r="G114">
        <v>10</v>
      </c>
      <c r="H114">
        <v>2</v>
      </c>
      <c r="I114">
        <v>90</v>
      </c>
    </row>
    <row r="115" spans="1:9">
      <c r="A115">
        <v>114</v>
      </c>
      <c r="B115">
        <v>2024</v>
      </c>
      <c r="C115" t="s">
        <v>47</v>
      </c>
      <c r="D115" t="s">
        <v>29</v>
      </c>
      <c r="E115">
        <v>71</v>
      </c>
      <c r="F115">
        <v>29</v>
      </c>
      <c r="G115">
        <v>6</v>
      </c>
      <c r="H115">
        <v>5</v>
      </c>
      <c r="I115">
        <v>244.83</v>
      </c>
    </row>
    <row r="116" spans="1:9">
      <c r="A116">
        <v>115</v>
      </c>
      <c r="B116">
        <v>2022</v>
      </c>
      <c r="C116" t="s">
        <v>32</v>
      </c>
      <c r="D116" t="s">
        <v>29</v>
      </c>
      <c r="E116">
        <v>111</v>
      </c>
      <c r="F116">
        <v>41</v>
      </c>
      <c r="G116">
        <v>10</v>
      </c>
      <c r="H116">
        <v>2</v>
      </c>
      <c r="I116">
        <v>270.73</v>
      </c>
    </row>
    <row r="117" spans="1:9">
      <c r="A117">
        <v>116</v>
      </c>
      <c r="B117">
        <v>2022</v>
      </c>
      <c r="C117" t="s">
        <v>27</v>
      </c>
      <c r="D117" t="s">
        <v>87</v>
      </c>
      <c r="E117">
        <v>41</v>
      </c>
      <c r="F117">
        <v>14</v>
      </c>
      <c r="G117">
        <v>0</v>
      </c>
      <c r="H117">
        <v>2</v>
      </c>
      <c r="I117">
        <v>292.86</v>
      </c>
    </row>
    <row r="118" spans="1:9">
      <c r="A118">
        <v>117</v>
      </c>
      <c r="B118">
        <v>2023</v>
      </c>
      <c r="C118" t="s">
        <v>47</v>
      </c>
      <c r="D118" t="s">
        <v>74</v>
      </c>
      <c r="E118">
        <v>10</v>
      </c>
      <c r="F118">
        <v>22</v>
      </c>
      <c r="G118">
        <v>2</v>
      </c>
      <c r="H118">
        <v>1</v>
      </c>
      <c r="I118">
        <v>45.45</v>
      </c>
    </row>
    <row r="119" spans="1:9">
      <c r="A119">
        <v>118</v>
      </c>
      <c r="B119">
        <v>2021</v>
      </c>
      <c r="C119" t="s">
        <v>47</v>
      </c>
      <c r="D119" t="s">
        <v>90</v>
      </c>
      <c r="E119">
        <v>46</v>
      </c>
      <c r="F119">
        <v>59</v>
      </c>
      <c r="G119">
        <v>7</v>
      </c>
      <c r="H119">
        <v>5</v>
      </c>
      <c r="I119">
        <v>77.97</v>
      </c>
    </row>
    <row r="120" spans="1:9">
      <c r="A120">
        <v>119</v>
      </c>
      <c r="B120">
        <v>2023</v>
      </c>
      <c r="C120" t="s">
        <v>32</v>
      </c>
      <c r="D120" t="s">
        <v>23</v>
      </c>
      <c r="E120">
        <v>98</v>
      </c>
      <c r="F120">
        <v>62</v>
      </c>
      <c r="G120">
        <v>5</v>
      </c>
      <c r="H120">
        <v>3</v>
      </c>
      <c r="I120">
        <v>158.06</v>
      </c>
    </row>
    <row r="121" spans="1:9">
      <c r="A121">
        <v>120</v>
      </c>
      <c r="B121">
        <v>2024</v>
      </c>
      <c r="C121" t="s">
        <v>27</v>
      </c>
      <c r="D121" t="s">
        <v>74</v>
      </c>
      <c r="E121">
        <v>15</v>
      </c>
      <c r="F121">
        <v>5</v>
      </c>
      <c r="G121">
        <v>3</v>
      </c>
      <c r="H121">
        <v>1</v>
      </c>
      <c r="I121">
        <v>300</v>
      </c>
    </row>
    <row r="122" spans="1:9">
      <c r="A122">
        <v>121</v>
      </c>
      <c r="B122">
        <v>2021</v>
      </c>
      <c r="C122" t="s">
        <v>36</v>
      </c>
      <c r="D122" t="s">
        <v>44</v>
      </c>
      <c r="E122">
        <v>93</v>
      </c>
      <c r="F122">
        <v>57</v>
      </c>
      <c r="G122">
        <v>0</v>
      </c>
      <c r="H122">
        <v>0</v>
      </c>
      <c r="I122">
        <v>163.16</v>
      </c>
    </row>
    <row r="123" spans="1:9">
      <c r="A123">
        <v>122</v>
      </c>
      <c r="B123">
        <v>2024</v>
      </c>
      <c r="C123" t="s">
        <v>50</v>
      </c>
      <c r="D123" t="s">
        <v>116</v>
      </c>
      <c r="E123">
        <v>28</v>
      </c>
      <c r="F123">
        <v>52</v>
      </c>
      <c r="G123">
        <v>7</v>
      </c>
      <c r="H123">
        <v>2</v>
      </c>
      <c r="I123">
        <v>53.85</v>
      </c>
    </row>
    <row r="124" spans="1:9">
      <c r="A124">
        <v>123</v>
      </c>
      <c r="B124">
        <v>2023</v>
      </c>
      <c r="C124" t="s">
        <v>21</v>
      </c>
      <c r="D124" t="s">
        <v>29</v>
      </c>
      <c r="E124">
        <v>59</v>
      </c>
      <c r="F124">
        <v>40</v>
      </c>
      <c r="G124">
        <v>8</v>
      </c>
      <c r="H124">
        <v>1</v>
      </c>
      <c r="I124">
        <v>147.5</v>
      </c>
    </row>
    <row r="125" spans="1:9">
      <c r="A125">
        <v>124</v>
      </c>
      <c r="B125">
        <v>2023</v>
      </c>
      <c r="C125" t="s">
        <v>36</v>
      </c>
      <c r="D125" t="s">
        <v>90</v>
      </c>
      <c r="E125">
        <v>15</v>
      </c>
      <c r="F125">
        <v>16</v>
      </c>
      <c r="G125">
        <v>3</v>
      </c>
      <c r="H125">
        <v>1</v>
      </c>
      <c r="I125">
        <v>93.75</v>
      </c>
    </row>
    <row r="126" spans="1:9">
      <c r="A126">
        <v>125</v>
      </c>
      <c r="B126">
        <v>2022</v>
      </c>
      <c r="C126" t="s">
        <v>36</v>
      </c>
      <c r="D126" t="s">
        <v>62</v>
      </c>
      <c r="E126">
        <v>13</v>
      </c>
      <c r="F126">
        <v>44</v>
      </c>
      <c r="G126">
        <v>3</v>
      </c>
      <c r="H126">
        <v>1</v>
      </c>
      <c r="I126">
        <v>29.55</v>
      </c>
    </row>
    <row r="127" spans="1:9">
      <c r="A127">
        <v>126</v>
      </c>
      <c r="B127">
        <v>2023</v>
      </c>
      <c r="C127" t="s">
        <v>14</v>
      </c>
      <c r="D127" t="s">
        <v>116</v>
      </c>
      <c r="E127">
        <v>120</v>
      </c>
      <c r="F127">
        <v>63</v>
      </c>
      <c r="G127">
        <v>9</v>
      </c>
      <c r="H127">
        <v>5</v>
      </c>
      <c r="I127">
        <v>190.48</v>
      </c>
    </row>
    <row r="128" spans="1:9">
      <c r="A128">
        <v>127</v>
      </c>
      <c r="B128">
        <v>2025</v>
      </c>
      <c r="C128" t="s">
        <v>32</v>
      </c>
      <c r="D128" t="s">
        <v>57</v>
      </c>
      <c r="E128">
        <v>37</v>
      </c>
      <c r="F128">
        <v>42</v>
      </c>
      <c r="G128">
        <v>2</v>
      </c>
      <c r="H128">
        <v>0</v>
      </c>
      <c r="I128">
        <v>88.1</v>
      </c>
    </row>
    <row r="129" spans="1:9">
      <c r="A129">
        <v>128</v>
      </c>
      <c r="B129">
        <v>2021</v>
      </c>
      <c r="C129" t="s">
        <v>50</v>
      </c>
      <c r="D129" t="s">
        <v>53</v>
      </c>
      <c r="E129">
        <v>7</v>
      </c>
      <c r="F129">
        <v>38</v>
      </c>
      <c r="G129">
        <v>1</v>
      </c>
      <c r="H129">
        <v>0</v>
      </c>
      <c r="I129">
        <v>18.420000000000002</v>
      </c>
    </row>
    <row r="130" spans="1:9">
      <c r="A130">
        <v>129</v>
      </c>
      <c r="B130">
        <v>2025</v>
      </c>
      <c r="C130" t="s">
        <v>50</v>
      </c>
      <c r="D130" t="s">
        <v>39</v>
      </c>
      <c r="E130">
        <v>18</v>
      </c>
      <c r="F130">
        <v>11</v>
      </c>
      <c r="G130">
        <v>4</v>
      </c>
      <c r="H130">
        <v>0</v>
      </c>
      <c r="I130">
        <v>163.63999999999999</v>
      </c>
    </row>
    <row r="131" spans="1:9">
      <c r="A131">
        <v>130</v>
      </c>
      <c r="B131">
        <v>2025</v>
      </c>
      <c r="C131" t="s">
        <v>15</v>
      </c>
      <c r="D131" t="s">
        <v>116</v>
      </c>
      <c r="E131">
        <v>8</v>
      </c>
      <c r="F131">
        <v>15</v>
      </c>
      <c r="G131">
        <v>2</v>
      </c>
      <c r="H131">
        <v>0</v>
      </c>
      <c r="I131">
        <v>53.33</v>
      </c>
    </row>
    <row r="132" spans="1:9">
      <c r="A132">
        <v>131</v>
      </c>
      <c r="B132">
        <v>2023</v>
      </c>
      <c r="C132" t="s">
        <v>15</v>
      </c>
      <c r="D132" t="s">
        <v>44</v>
      </c>
      <c r="E132">
        <v>35</v>
      </c>
      <c r="F132">
        <v>21</v>
      </c>
      <c r="G132">
        <v>4</v>
      </c>
      <c r="H132">
        <v>4</v>
      </c>
      <c r="I132">
        <v>166.67</v>
      </c>
    </row>
    <row r="133" spans="1:9">
      <c r="A133">
        <v>132</v>
      </c>
      <c r="B133">
        <v>2025</v>
      </c>
      <c r="C133" t="s">
        <v>14</v>
      </c>
      <c r="D133" t="s">
        <v>17</v>
      </c>
      <c r="E133">
        <v>75</v>
      </c>
      <c r="F133">
        <v>27</v>
      </c>
      <c r="G133">
        <v>11</v>
      </c>
      <c r="H133">
        <v>2</v>
      </c>
      <c r="I133">
        <v>277.77999999999997</v>
      </c>
    </row>
    <row r="134" spans="1:9">
      <c r="A134">
        <v>133</v>
      </c>
      <c r="B134">
        <v>2021</v>
      </c>
      <c r="C134" t="s">
        <v>47</v>
      </c>
      <c r="D134" t="s">
        <v>57</v>
      </c>
      <c r="E134">
        <v>33</v>
      </c>
      <c r="F134">
        <v>27</v>
      </c>
      <c r="G134">
        <v>8</v>
      </c>
      <c r="H134">
        <v>2</v>
      </c>
      <c r="I134">
        <v>122.22</v>
      </c>
    </row>
    <row r="135" spans="1:9">
      <c r="A135">
        <v>134</v>
      </c>
      <c r="B135">
        <v>2025</v>
      </c>
      <c r="C135" t="s">
        <v>47</v>
      </c>
      <c r="D135" t="s">
        <v>39</v>
      </c>
      <c r="E135">
        <v>10</v>
      </c>
      <c r="F135">
        <v>9</v>
      </c>
      <c r="G135">
        <v>1</v>
      </c>
      <c r="H135">
        <v>1</v>
      </c>
      <c r="I135">
        <v>111.11</v>
      </c>
    </row>
    <row r="136" spans="1:9">
      <c r="A136">
        <v>135</v>
      </c>
      <c r="B136">
        <v>2024</v>
      </c>
      <c r="C136" t="s">
        <v>50</v>
      </c>
      <c r="D136" t="s">
        <v>29</v>
      </c>
      <c r="E136">
        <v>105</v>
      </c>
      <c r="F136">
        <v>68</v>
      </c>
      <c r="G136">
        <v>12</v>
      </c>
      <c r="H136">
        <v>6</v>
      </c>
      <c r="I136">
        <v>154.41</v>
      </c>
    </row>
    <row r="137" spans="1:9">
      <c r="A137">
        <v>136</v>
      </c>
      <c r="B137">
        <v>2025</v>
      </c>
      <c r="C137" t="s">
        <v>22</v>
      </c>
      <c r="D137" t="s">
        <v>76</v>
      </c>
      <c r="E137">
        <v>26</v>
      </c>
      <c r="F137">
        <v>26</v>
      </c>
      <c r="G137">
        <v>6</v>
      </c>
      <c r="H137">
        <v>2</v>
      </c>
      <c r="I137">
        <v>100</v>
      </c>
    </row>
    <row r="138" spans="1:9">
      <c r="A138">
        <v>137</v>
      </c>
      <c r="B138">
        <v>2025</v>
      </c>
      <c r="C138" t="s">
        <v>14</v>
      </c>
      <c r="D138" t="s">
        <v>44</v>
      </c>
      <c r="E138">
        <v>3</v>
      </c>
      <c r="F138">
        <v>19</v>
      </c>
      <c r="G138">
        <v>0</v>
      </c>
      <c r="H138">
        <v>0</v>
      </c>
      <c r="I138">
        <v>15.79</v>
      </c>
    </row>
    <row r="139" spans="1:9">
      <c r="A139">
        <v>138</v>
      </c>
      <c r="B139">
        <v>2021</v>
      </c>
      <c r="C139" t="s">
        <v>32</v>
      </c>
      <c r="D139" t="s">
        <v>116</v>
      </c>
      <c r="E139">
        <v>121</v>
      </c>
      <c r="F139">
        <v>43</v>
      </c>
      <c r="G139">
        <v>11</v>
      </c>
      <c r="H139">
        <v>8</v>
      </c>
      <c r="I139">
        <v>281.39999999999998</v>
      </c>
    </row>
    <row r="140" spans="1:9">
      <c r="A140">
        <v>139</v>
      </c>
      <c r="B140">
        <v>2023</v>
      </c>
      <c r="C140" t="s">
        <v>22</v>
      </c>
      <c r="D140" t="s">
        <v>41</v>
      </c>
      <c r="E140">
        <v>121</v>
      </c>
      <c r="F140">
        <v>54</v>
      </c>
      <c r="G140">
        <v>4</v>
      </c>
      <c r="H140">
        <v>2</v>
      </c>
      <c r="I140">
        <v>224.07</v>
      </c>
    </row>
    <row r="141" spans="1:9">
      <c r="A141">
        <v>140</v>
      </c>
      <c r="B141">
        <v>2022</v>
      </c>
      <c r="C141" t="s">
        <v>36</v>
      </c>
      <c r="D141" t="s">
        <v>74</v>
      </c>
      <c r="E141">
        <v>9</v>
      </c>
      <c r="F141">
        <v>6</v>
      </c>
      <c r="G141">
        <v>2</v>
      </c>
      <c r="H141">
        <v>0</v>
      </c>
      <c r="I141">
        <v>150</v>
      </c>
    </row>
    <row r="142" spans="1:9">
      <c r="A142">
        <v>141</v>
      </c>
      <c r="B142">
        <v>2022</v>
      </c>
      <c r="C142" t="s">
        <v>32</v>
      </c>
      <c r="D142" t="s">
        <v>81</v>
      </c>
      <c r="E142">
        <v>3</v>
      </c>
      <c r="F142">
        <v>10</v>
      </c>
      <c r="G142">
        <v>0</v>
      </c>
      <c r="H142">
        <v>0</v>
      </c>
      <c r="I142">
        <v>30</v>
      </c>
    </row>
    <row r="143" spans="1:9">
      <c r="A143">
        <v>142</v>
      </c>
      <c r="B143">
        <v>2024</v>
      </c>
      <c r="C143" t="s">
        <v>32</v>
      </c>
      <c r="D143" t="s">
        <v>90</v>
      </c>
      <c r="E143">
        <v>42</v>
      </c>
      <c r="F143">
        <v>39</v>
      </c>
      <c r="G143">
        <v>4</v>
      </c>
      <c r="H143">
        <v>4</v>
      </c>
      <c r="I143">
        <v>107.69</v>
      </c>
    </row>
    <row r="144" spans="1:9">
      <c r="A144">
        <v>143</v>
      </c>
      <c r="B144">
        <v>2023</v>
      </c>
      <c r="C144" t="s">
        <v>21</v>
      </c>
      <c r="D144" t="s">
        <v>44</v>
      </c>
      <c r="E144">
        <v>118</v>
      </c>
      <c r="F144">
        <v>55</v>
      </c>
      <c r="G144">
        <v>12</v>
      </c>
      <c r="H144">
        <v>3</v>
      </c>
      <c r="I144">
        <v>214.55</v>
      </c>
    </row>
    <row r="145" spans="1:9">
      <c r="A145">
        <v>144</v>
      </c>
      <c r="B145">
        <v>2024</v>
      </c>
      <c r="C145" t="s">
        <v>50</v>
      </c>
      <c r="D145" t="s">
        <v>66</v>
      </c>
      <c r="E145">
        <v>46</v>
      </c>
      <c r="F145">
        <v>48</v>
      </c>
      <c r="G145">
        <v>5</v>
      </c>
      <c r="H145">
        <v>6</v>
      </c>
      <c r="I145">
        <v>95.83</v>
      </c>
    </row>
    <row r="146" spans="1:9">
      <c r="A146">
        <v>145</v>
      </c>
      <c r="B146">
        <v>2022</v>
      </c>
      <c r="C146" t="s">
        <v>14</v>
      </c>
      <c r="D146" t="s">
        <v>87</v>
      </c>
      <c r="E146">
        <v>0</v>
      </c>
      <c r="F146">
        <v>13</v>
      </c>
      <c r="G146">
        <v>0</v>
      </c>
      <c r="H146">
        <v>0</v>
      </c>
      <c r="I146">
        <v>0</v>
      </c>
    </row>
    <row r="147" spans="1:9">
      <c r="A147">
        <v>146</v>
      </c>
      <c r="B147">
        <v>2023</v>
      </c>
      <c r="C147" t="s">
        <v>36</v>
      </c>
      <c r="D147" t="s">
        <v>17</v>
      </c>
      <c r="E147">
        <v>89</v>
      </c>
      <c r="F147">
        <v>62</v>
      </c>
      <c r="G147">
        <v>3</v>
      </c>
      <c r="H147">
        <v>4</v>
      </c>
      <c r="I147">
        <v>143.55000000000001</v>
      </c>
    </row>
    <row r="148" spans="1:9">
      <c r="A148">
        <v>147</v>
      </c>
      <c r="B148">
        <v>2022</v>
      </c>
      <c r="C148" t="s">
        <v>15</v>
      </c>
      <c r="D148" t="s">
        <v>66</v>
      </c>
      <c r="E148">
        <v>0</v>
      </c>
      <c r="F148">
        <v>9</v>
      </c>
      <c r="G148">
        <v>0</v>
      </c>
      <c r="H148">
        <v>0</v>
      </c>
      <c r="I148">
        <v>0</v>
      </c>
    </row>
    <row r="149" spans="1:9">
      <c r="A149">
        <v>148</v>
      </c>
      <c r="B149">
        <v>2021</v>
      </c>
      <c r="C149" t="s">
        <v>14</v>
      </c>
      <c r="D149" t="s">
        <v>90</v>
      </c>
      <c r="E149">
        <v>76</v>
      </c>
      <c r="F149">
        <v>32</v>
      </c>
      <c r="G149">
        <v>10</v>
      </c>
      <c r="H149">
        <v>1</v>
      </c>
      <c r="I149">
        <v>237.5</v>
      </c>
    </row>
    <row r="150" spans="1:9">
      <c r="A150">
        <v>149</v>
      </c>
      <c r="B150">
        <v>2022</v>
      </c>
      <c r="C150" t="s">
        <v>21</v>
      </c>
      <c r="D150" t="s">
        <v>64</v>
      </c>
      <c r="E150">
        <v>48</v>
      </c>
      <c r="F150">
        <v>21</v>
      </c>
      <c r="G150">
        <v>10</v>
      </c>
      <c r="H150">
        <v>2</v>
      </c>
      <c r="I150">
        <v>228.57</v>
      </c>
    </row>
    <row r="151" spans="1:9">
      <c r="A151">
        <v>150</v>
      </c>
      <c r="B151">
        <v>2022</v>
      </c>
      <c r="C151" t="s">
        <v>21</v>
      </c>
      <c r="D151" t="s">
        <v>39</v>
      </c>
      <c r="E151">
        <v>37</v>
      </c>
      <c r="F151">
        <v>37</v>
      </c>
      <c r="G151">
        <v>7</v>
      </c>
      <c r="H151">
        <v>1</v>
      </c>
      <c r="I151">
        <v>100</v>
      </c>
    </row>
    <row r="152" spans="1:9">
      <c r="A152">
        <v>151</v>
      </c>
      <c r="B152">
        <v>2023</v>
      </c>
      <c r="C152" t="s">
        <v>47</v>
      </c>
      <c r="D152" t="s">
        <v>44</v>
      </c>
      <c r="E152">
        <v>82</v>
      </c>
      <c r="F152">
        <v>59</v>
      </c>
      <c r="G152">
        <v>4</v>
      </c>
      <c r="H152">
        <v>2</v>
      </c>
      <c r="I152">
        <v>138.97999999999999</v>
      </c>
    </row>
    <row r="153" spans="1:9">
      <c r="A153">
        <v>152</v>
      </c>
      <c r="B153">
        <v>2021</v>
      </c>
      <c r="C153" t="s">
        <v>21</v>
      </c>
      <c r="D153" t="s">
        <v>44</v>
      </c>
      <c r="E153">
        <v>24</v>
      </c>
      <c r="F153">
        <v>12</v>
      </c>
      <c r="G153">
        <v>6</v>
      </c>
      <c r="H153">
        <v>2</v>
      </c>
      <c r="I153">
        <v>200</v>
      </c>
    </row>
    <row r="154" spans="1:9">
      <c r="A154">
        <v>153</v>
      </c>
      <c r="B154">
        <v>2025</v>
      </c>
      <c r="C154" t="s">
        <v>14</v>
      </c>
      <c r="D154" t="s">
        <v>44</v>
      </c>
      <c r="E154">
        <v>22</v>
      </c>
      <c r="F154">
        <v>38</v>
      </c>
      <c r="G154">
        <v>5</v>
      </c>
      <c r="H154">
        <v>1</v>
      </c>
      <c r="I154">
        <v>57.89</v>
      </c>
    </row>
    <row r="155" spans="1:9">
      <c r="A155">
        <v>154</v>
      </c>
      <c r="B155">
        <v>2023</v>
      </c>
      <c r="C155" t="s">
        <v>47</v>
      </c>
      <c r="D155" t="s">
        <v>66</v>
      </c>
      <c r="E155">
        <v>45</v>
      </c>
      <c r="F155">
        <v>55</v>
      </c>
      <c r="G155">
        <v>10</v>
      </c>
      <c r="H155">
        <v>4</v>
      </c>
      <c r="I155">
        <v>81.819999999999993</v>
      </c>
    </row>
    <row r="156" spans="1:9">
      <c r="A156">
        <v>155</v>
      </c>
      <c r="B156">
        <v>2021</v>
      </c>
      <c r="C156" t="s">
        <v>21</v>
      </c>
      <c r="D156" t="s">
        <v>29</v>
      </c>
      <c r="E156">
        <v>55</v>
      </c>
      <c r="F156">
        <v>60</v>
      </c>
      <c r="G156">
        <v>9</v>
      </c>
      <c r="H156">
        <v>1</v>
      </c>
      <c r="I156">
        <v>91.67</v>
      </c>
    </row>
    <row r="157" spans="1:9">
      <c r="A157">
        <v>156</v>
      </c>
      <c r="B157">
        <v>2024</v>
      </c>
      <c r="C157" t="s">
        <v>47</v>
      </c>
      <c r="D157" t="s">
        <v>44</v>
      </c>
      <c r="E157">
        <v>2</v>
      </c>
      <c r="F157">
        <v>18</v>
      </c>
      <c r="G157">
        <v>0</v>
      </c>
      <c r="H157">
        <v>0</v>
      </c>
      <c r="I157">
        <v>11.11</v>
      </c>
    </row>
    <row r="158" spans="1:9">
      <c r="A158">
        <v>157</v>
      </c>
      <c r="B158">
        <v>2021</v>
      </c>
      <c r="C158" t="s">
        <v>50</v>
      </c>
      <c r="D158" t="s">
        <v>44</v>
      </c>
      <c r="E158">
        <v>4</v>
      </c>
      <c r="F158">
        <v>62</v>
      </c>
      <c r="G158">
        <v>1</v>
      </c>
      <c r="H158">
        <v>0</v>
      </c>
      <c r="I158">
        <v>6.45</v>
      </c>
    </row>
    <row r="159" spans="1:9">
      <c r="A159">
        <v>158</v>
      </c>
      <c r="B159">
        <v>2023</v>
      </c>
      <c r="C159" t="s">
        <v>14</v>
      </c>
      <c r="D159" t="s">
        <v>33</v>
      </c>
      <c r="E159">
        <v>68</v>
      </c>
      <c r="F159">
        <v>54</v>
      </c>
      <c r="G159">
        <v>2</v>
      </c>
      <c r="H159">
        <v>5</v>
      </c>
      <c r="I159">
        <v>125.93</v>
      </c>
    </row>
    <row r="160" spans="1:9">
      <c r="A160">
        <v>159</v>
      </c>
      <c r="B160">
        <v>2024</v>
      </c>
      <c r="C160" t="s">
        <v>32</v>
      </c>
      <c r="D160" t="s">
        <v>62</v>
      </c>
      <c r="E160">
        <v>15</v>
      </c>
      <c r="F160">
        <v>5</v>
      </c>
      <c r="G160">
        <v>3</v>
      </c>
      <c r="H160">
        <v>1</v>
      </c>
      <c r="I160">
        <v>300</v>
      </c>
    </row>
    <row r="161" spans="1:9">
      <c r="A161">
        <v>160</v>
      </c>
      <c r="B161">
        <v>2025</v>
      </c>
      <c r="C161" t="s">
        <v>32</v>
      </c>
      <c r="D161" t="s">
        <v>64</v>
      </c>
      <c r="E161">
        <v>0</v>
      </c>
      <c r="F161">
        <v>33</v>
      </c>
      <c r="G161">
        <v>0</v>
      </c>
      <c r="H161">
        <v>0</v>
      </c>
      <c r="I161">
        <v>0</v>
      </c>
    </row>
    <row r="162" spans="1:9">
      <c r="A162">
        <v>161</v>
      </c>
      <c r="B162">
        <v>2025</v>
      </c>
      <c r="C162" t="s">
        <v>21</v>
      </c>
      <c r="D162" t="s">
        <v>62</v>
      </c>
      <c r="E162">
        <v>85</v>
      </c>
      <c r="F162">
        <v>50</v>
      </c>
      <c r="G162">
        <v>10</v>
      </c>
      <c r="H162">
        <v>4</v>
      </c>
      <c r="I162">
        <v>170</v>
      </c>
    </row>
    <row r="163" spans="1:9">
      <c r="A163">
        <v>162</v>
      </c>
      <c r="B163">
        <v>2023</v>
      </c>
      <c r="C163" t="s">
        <v>32</v>
      </c>
      <c r="D163" t="s">
        <v>33</v>
      </c>
      <c r="E163">
        <v>23</v>
      </c>
      <c r="F163">
        <v>16</v>
      </c>
      <c r="G163">
        <v>5</v>
      </c>
      <c r="H163">
        <v>2</v>
      </c>
      <c r="I163">
        <v>143.75</v>
      </c>
    </row>
    <row r="164" spans="1:9">
      <c r="A164">
        <v>163</v>
      </c>
      <c r="B164">
        <v>2023</v>
      </c>
      <c r="C164" t="s">
        <v>21</v>
      </c>
      <c r="D164" t="s">
        <v>76</v>
      </c>
      <c r="E164">
        <v>82</v>
      </c>
      <c r="F164">
        <v>42</v>
      </c>
      <c r="G164">
        <v>3</v>
      </c>
      <c r="H164">
        <v>2</v>
      </c>
      <c r="I164">
        <v>195.24</v>
      </c>
    </row>
    <row r="165" spans="1:9">
      <c r="A165">
        <v>164</v>
      </c>
      <c r="B165">
        <v>2022</v>
      </c>
      <c r="C165" t="s">
        <v>36</v>
      </c>
      <c r="D165" t="s">
        <v>33</v>
      </c>
      <c r="E165">
        <v>48</v>
      </c>
      <c r="F165">
        <v>54</v>
      </c>
      <c r="G165">
        <v>4</v>
      </c>
      <c r="H165">
        <v>6</v>
      </c>
      <c r="I165">
        <v>88.89</v>
      </c>
    </row>
    <row r="166" spans="1:9">
      <c r="A166">
        <v>165</v>
      </c>
      <c r="B166">
        <v>2022</v>
      </c>
      <c r="C166" t="s">
        <v>21</v>
      </c>
      <c r="D166" t="s">
        <v>57</v>
      </c>
      <c r="E166">
        <v>21</v>
      </c>
      <c r="F166">
        <v>67</v>
      </c>
      <c r="G166">
        <v>5</v>
      </c>
      <c r="H166">
        <v>1</v>
      </c>
      <c r="I166">
        <v>31.34</v>
      </c>
    </row>
    <row r="167" spans="1:9">
      <c r="A167">
        <v>166</v>
      </c>
      <c r="B167">
        <v>2023</v>
      </c>
      <c r="C167" t="s">
        <v>22</v>
      </c>
      <c r="D167" t="s">
        <v>29</v>
      </c>
      <c r="E167">
        <v>6</v>
      </c>
      <c r="F167">
        <v>9</v>
      </c>
      <c r="G167">
        <v>0</v>
      </c>
      <c r="H167">
        <v>1</v>
      </c>
      <c r="I167">
        <v>66.67</v>
      </c>
    </row>
    <row r="168" spans="1:9">
      <c r="A168">
        <v>167</v>
      </c>
      <c r="B168">
        <v>2024</v>
      </c>
      <c r="C168" t="s">
        <v>47</v>
      </c>
      <c r="D168" t="s">
        <v>41</v>
      </c>
      <c r="E168">
        <v>34</v>
      </c>
      <c r="F168">
        <v>13</v>
      </c>
      <c r="G168">
        <v>8</v>
      </c>
      <c r="H168">
        <v>3</v>
      </c>
      <c r="I168">
        <v>261.54000000000002</v>
      </c>
    </row>
    <row r="169" spans="1:9">
      <c r="A169">
        <v>168</v>
      </c>
      <c r="B169">
        <v>2025</v>
      </c>
      <c r="C169" t="s">
        <v>47</v>
      </c>
      <c r="D169" t="s">
        <v>23</v>
      </c>
      <c r="E169">
        <v>4</v>
      </c>
      <c r="F169">
        <v>62</v>
      </c>
      <c r="G169">
        <v>0</v>
      </c>
      <c r="H169">
        <v>0</v>
      </c>
      <c r="I169">
        <v>6.45</v>
      </c>
    </row>
    <row r="170" spans="1:9">
      <c r="A170">
        <v>169</v>
      </c>
      <c r="B170">
        <v>2023</v>
      </c>
      <c r="C170" t="s">
        <v>14</v>
      </c>
      <c r="D170" t="s">
        <v>81</v>
      </c>
      <c r="E170">
        <v>12</v>
      </c>
      <c r="F170">
        <v>10</v>
      </c>
      <c r="G170">
        <v>1</v>
      </c>
      <c r="H170">
        <v>1</v>
      </c>
      <c r="I170">
        <v>120</v>
      </c>
    </row>
    <row r="171" spans="1:9">
      <c r="A171">
        <v>170</v>
      </c>
      <c r="B171">
        <v>2025</v>
      </c>
      <c r="C171" t="s">
        <v>36</v>
      </c>
      <c r="D171" t="s">
        <v>76</v>
      </c>
      <c r="E171">
        <v>29</v>
      </c>
      <c r="F171">
        <v>24</v>
      </c>
      <c r="G171">
        <v>1</v>
      </c>
      <c r="H171">
        <v>0</v>
      </c>
      <c r="I171">
        <v>120.83</v>
      </c>
    </row>
    <row r="172" spans="1:9">
      <c r="A172">
        <v>171</v>
      </c>
      <c r="B172">
        <v>2021</v>
      </c>
      <c r="C172" t="s">
        <v>27</v>
      </c>
      <c r="D172" t="s">
        <v>116</v>
      </c>
      <c r="E172">
        <v>15</v>
      </c>
      <c r="F172">
        <v>7</v>
      </c>
      <c r="G172">
        <v>3</v>
      </c>
      <c r="H172">
        <v>0</v>
      </c>
      <c r="I172">
        <v>214.29</v>
      </c>
    </row>
    <row r="173" spans="1:9">
      <c r="A173">
        <v>172</v>
      </c>
      <c r="B173">
        <v>2023</v>
      </c>
      <c r="C173" t="s">
        <v>22</v>
      </c>
      <c r="D173" t="s">
        <v>29</v>
      </c>
      <c r="E173">
        <v>5</v>
      </c>
      <c r="F173">
        <v>6</v>
      </c>
      <c r="G173">
        <v>1</v>
      </c>
      <c r="H173">
        <v>0</v>
      </c>
      <c r="I173">
        <v>83.33</v>
      </c>
    </row>
    <row r="174" spans="1:9">
      <c r="A174">
        <v>173</v>
      </c>
      <c r="B174">
        <v>2024</v>
      </c>
      <c r="C174" t="s">
        <v>15</v>
      </c>
      <c r="D174" t="s">
        <v>17</v>
      </c>
      <c r="E174">
        <v>43</v>
      </c>
      <c r="F174">
        <v>63</v>
      </c>
      <c r="G174">
        <v>9</v>
      </c>
      <c r="H174">
        <v>1</v>
      </c>
      <c r="I174">
        <v>68.25</v>
      </c>
    </row>
    <row r="175" spans="1:9">
      <c r="A175">
        <v>174</v>
      </c>
      <c r="B175">
        <v>2023</v>
      </c>
      <c r="C175" t="s">
        <v>21</v>
      </c>
      <c r="D175" t="s">
        <v>17</v>
      </c>
      <c r="E175">
        <v>56</v>
      </c>
      <c r="F175">
        <v>68</v>
      </c>
      <c r="G175">
        <v>1</v>
      </c>
      <c r="H175">
        <v>3</v>
      </c>
      <c r="I175">
        <v>82.35</v>
      </c>
    </row>
    <row r="176" spans="1:9">
      <c r="A176">
        <v>175</v>
      </c>
      <c r="B176">
        <v>2022</v>
      </c>
      <c r="C176" t="s">
        <v>32</v>
      </c>
      <c r="D176" t="s">
        <v>81</v>
      </c>
      <c r="E176">
        <v>83</v>
      </c>
      <c r="F176">
        <v>56</v>
      </c>
      <c r="G176">
        <v>1</v>
      </c>
      <c r="H176">
        <v>8</v>
      </c>
      <c r="I176">
        <v>148.21</v>
      </c>
    </row>
    <row r="177" spans="1:9">
      <c r="A177">
        <v>176</v>
      </c>
      <c r="B177">
        <v>2023</v>
      </c>
      <c r="C177" t="s">
        <v>27</v>
      </c>
      <c r="D177" t="s">
        <v>81</v>
      </c>
      <c r="E177">
        <v>5</v>
      </c>
      <c r="F177">
        <v>32</v>
      </c>
      <c r="G177">
        <v>1</v>
      </c>
      <c r="H177">
        <v>0</v>
      </c>
      <c r="I177">
        <v>15.62</v>
      </c>
    </row>
    <row r="178" spans="1:9">
      <c r="A178">
        <v>177</v>
      </c>
      <c r="B178">
        <v>2025</v>
      </c>
      <c r="C178" t="s">
        <v>56</v>
      </c>
      <c r="D178" t="s">
        <v>64</v>
      </c>
      <c r="E178">
        <v>17</v>
      </c>
      <c r="F178">
        <v>20</v>
      </c>
      <c r="G178">
        <v>2</v>
      </c>
      <c r="H178">
        <v>2</v>
      </c>
      <c r="I178">
        <v>85</v>
      </c>
    </row>
    <row r="179" spans="1:9">
      <c r="A179">
        <v>178</v>
      </c>
      <c r="B179">
        <v>2024</v>
      </c>
      <c r="C179" t="s">
        <v>27</v>
      </c>
      <c r="D179" t="s">
        <v>57</v>
      </c>
      <c r="E179">
        <v>56</v>
      </c>
      <c r="F179">
        <v>26</v>
      </c>
      <c r="G179">
        <v>3</v>
      </c>
      <c r="H179">
        <v>0</v>
      </c>
      <c r="I179">
        <v>215.38</v>
      </c>
    </row>
    <row r="180" spans="1:9">
      <c r="A180">
        <v>179</v>
      </c>
      <c r="B180">
        <v>2021</v>
      </c>
      <c r="C180" t="s">
        <v>27</v>
      </c>
      <c r="D180" t="s">
        <v>17</v>
      </c>
      <c r="E180">
        <v>40</v>
      </c>
      <c r="F180">
        <v>53</v>
      </c>
      <c r="G180">
        <v>0</v>
      </c>
      <c r="H180">
        <v>6</v>
      </c>
      <c r="I180">
        <v>75.47</v>
      </c>
    </row>
    <row r="181" spans="1:9">
      <c r="A181">
        <v>180</v>
      </c>
      <c r="B181">
        <v>2025</v>
      </c>
      <c r="C181" t="s">
        <v>21</v>
      </c>
      <c r="D181" t="s">
        <v>87</v>
      </c>
      <c r="E181">
        <v>5</v>
      </c>
      <c r="F181">
        <v>5</v>
      </c>
      <c r="G181">
        <v>1</v>
      </c>
      <c r="H181">
        <v>0</v>
      </c>
      <c r="I181">
        <v>100</v>
      </c>
    </row>
    <row r="182" spans="1:9">
      <c r="A182">
        <v>181</v>
      </c>
      <c r="B182">
        <v>2022</v>
      </c>
      <c r="C182" t="s">
        <v>32</v>
      </c>
      <c r="D182" t="s">
        <v>116</v>
      </c>
      <c r="E182">
        <v>26</v>
      </c>
      <c r="F182">
        <v>21</v>
      </c>
      <c r="G182">
        <v>2</v>
      </c>
      <c r="H182">
        <v>3</v>
      </c>
      <c r="I182">
        <v>123.81</v>
      </c>
    </row>
    <row r="183" spans="1:9">
      <c r="A183">
        <v>182</v>
      </c>
      <c r="B183">
        <v>2024</v>
      </c>
      <c r="C183" t="s">
        <v>36</v>
      </c>
      <c r="D183" t="s">
        <v>76</v>
      </c>
      <c r="E183">
        <v>61</v>
      </c>
      <c r="F183">
        <v>57</v>
      </c>
      <c r="G183">
        <v>2</v>
      </c>
      <c r="H183">
        <v>0</v>
      </c>
      <c r="I183">
        <v>107.02</v>
      </c>
    </row>
    <row r="184" spans="1:9">
      <c r="A184">
        <v>183</v>
      </c>
      <c r="B184">
        <v>2023</v>
      </c>
      <c r="C184" t="s">
        <v>50</v>
      </c>
      <c r="D184" t="s">
        <v>39</v>
      </c>
      <c r="E184">
        <v>22</v>
      </c>
      <c r="F184">
        <v>68</v>
      </c>
      <c r="G184">
        <v>5</v>
      </c>
      <c r="H184">
        <v>2</v>
      </c>
      <c r="I184">
        <v>32.35</v>
      </c>
    </row>
    <row r="185" spans="1:9">
      <c r="A185">
        <v>184</v>
      </c>
      <c r="B185">
        <v>2025</v>
      </c>
      <c r="C185" t="s">
        <v>56</v>
      </c>
      <c r="D185" t="s">
        <v>74</v>
      </c>
      <c r="E185">
        <v>7</v>
      </c>
      <c r="F185">
        <v>5</v>
      </c>
      <c r="G185">
        <v>1</v>
      </c>
      <c r="H185">
        <v>0</v>
      </c>
      <c r="I185">
        <v>140</v>
      </c>
    </row>
    <row r="186" spans="1:9">
      <c r="A186">
        <v>185</v>
      </c>
      <c r="B186">
        <v>2025</v>
      </c>
      <c r="C186" t="s">
        <v>36</v>
      </c>
      <c r="D186" t="s">
        <v>17</v>
      </c>
      <c r="E186">
        <v>129</v>
      </c>
      <c r="F186">
        <v>51</v>
      </c>
      <c r="G186">
        <v>3</v>
      </c>
      <c r="H186">
        <v>7</v>
      </c>
      <c r="I186">
        <v>252.94</v>
      </c>
    </row>
    <row r="187" spans="1:9">
      <c r="A187">
        <v>186</v>
      </c>
      <c r="B187">
        <v>2022</v>
      </c>
      <c r="C187" t="s">
        <v>22</v>
      </c>
      <c r="D187" t="s">
        <v>44</v>
      </c>
      <c r="E187">
        <v>12</v>
      </c>
      <c r="F187">
        <v>11</v>
      </c>
      <c r="G187">
        <v>1</v>
      </c>
      <c r="H187">
        <v>1</v>
      </c>
      <c r="I187">
        <v>109.09</v>
      </c>
    </row>
    <row r="188" spans="1:9">
      <c r="A188">
        <v>187</v>
      </c>
      <c r="B188">
        <v>2024</v>
      </c>
      <c r="C188" t="s">
        <v>47</v>
      </c>
      <c r="D188" t="s">
        <v>116</v>
      </c>
      <c r="E188">
        <v>20</v>
      </c>
      <c r="F188">
        <v>27</v>
      </c>
      <c r="G188">
        <v>5</v>
      </c>
      <c r="H188">
        <v>0</v>
      </c>
      <c r="I188">
        <v>74.069999999999993</v>
      </c>
    </row>
    <row r="189" spans="1:9">
      <c r="A189">
        <v>188</v>
      </c>
      <c r="B189">
        <v>2023</v>
      </c>
      <c r="C189" t="s">
        <v>14</v>
      </c>
      <c r="D189" t="s">
        <v>57</v>
      </c>
      <c r="E189">
        <v>26</v>
      </c>
      <c r="F189">
        <v>41</v>
      </c>
      <c r="G189">
        <v>6</v>
      </c>
      <c r="H189">
        <v>2</v>
      </c>
      <c r="I189">
        <v>63.41</v>
      </c>
    </row>
    <row r="190" spans="1:9">
      <c r="A190">
        <v>189</v>
      </c>
      <c r="B190">
        <v>2023</v>
      </c>
      <c r="C190" t="s">
        <v>56</v>
      </c>
      <c r="D190" t="s">
        <v>90</v>
      </c>
      <c r="E190">
        <v>11</v>
      </c>
      <c r="F190">
        <v>63</v>
      </c>
      <c r="G190">
        <v>1</v>
      </c>
      <c r="H190">
        <v>0</v>
      </c>
      <c r="I190">
        <v>17.46</v>
      </c>
    </row>
    <row r="191" spans="1:9">
      <c r="A191">
        <v>190</v>
      </c>
      <c r="B191">
        <v>2025</v>
      </c>
      <c r="C191" t="s">
        <v>36</v>
      </c>
      <c r="D191" t="s">
        <v>39</v>
      </c>
      <c r="E191">
        <v>3</v>
      </c>
      <c r="F191">
        <v>25</v>
      </c>
      <c r="G191">
        <v>0</v>
      </c>
      <c r="H191">
        <v>0</v>
      </c>
      <c r="I191">
        <v>12</v>
      </c>
    </row>
    <row r="192" spans="1:9">
      <c r="A192">
        <v>191</v>
      </c>
      <c r="B192">
        <v>2023</v>
      </c>
      <c r="C192" t="s">
        <v>21</v>
      </c>
      <c r="D192" t="s">
        <v>64</v>
      </c>
      <c r="E192">
        <v>92</v>
      </c>
      <c r="F192">
        <v>35</v>
      </c>
      <c r="G192">
        <v>7</v>
      </c>
      <c r="H192">
        <v>5</v>
      </c>
      <c r="I192">
        <v>262.86</v>
      </c>
    </row>
    <row r="193" spans="1:9">
      <c r="A193">
        <v>192</v>
      </c>
      <c r="B193">
        <v>2022</v>
      </c>
      <c r="C193" t="s">
        <v>32</v>
      </c>
      <c r="D193" t="s">
        <v>66</v>
      </c>
      <c r="E193">
        <v>58</v>
      </c>
      <c r="F193">
        <v>46</v>
      </c>
      <c r="G193">
        <v>12</v>
      </c>
      <c r="H193">
        <v>1</v>
      </c>
      <c r="I193">
        <v>126.09</v>
      </c>
    </row>
    <row r="194" spans="1:9">
      <c r="A194">
        <v>193</v>
      </c>
      <c r="B194">
        <v>2022</v>
      </c>
      <c r="C194" t="s">
        <v>56</v>
      </c>
      <c r="D194" t="s">
        <v>95</v>
      </c>
      <c r="E194">
        <v>15</v>
      </c>
      <c r="F194">
        <v>17</v>
      </c>
      <c r="G194">
        <v>3</v>
      </c>
      <c r="H194">
        <v>1</v>
      </c>
      <c r="I194">
        <v>88.24</v>
      </c>
    </row>
    <row r="195" spans="1:9">
      <c r="A195">
        <v>194</v>
      </c>
      <c r="B195">
        <v>2023</v>
      </c>
      <c r="C195" t="s">
        <v>22</v>
      </c>
      <c r="D195" t="s">
        <v>41</v>
      </c>
      <c r="E195">
        <v>9</v>
      </c>
      <c r="F195">
        <v>33</v>
      </c>
      <c r="G195">
        <v>2</v>
      </c>
      <c r="H195">
        <v>0</v>
      </c>
      <c r="I195">
        <v>27.27</v>
      </c>
    </row>
    <row r="196" spans="1:9">
      <c r="A196">
        <v>195</v>
      </c>
      <c r="B196">
        <v>2024</v>
      </c>
      <c r="C196" t="s">
        <v>14</v>
      </c>
      <c r="D196" t="s">
        <v>74</v>
      </c>
      <c r="E196">
        <v>27</v>
      </c>
      <c r="F196">
        <v>23</v>
      </c>
      <c r="G196">
        <v>6</v>
      </c>
      <c r="H196">
        <v>2</v>
      </c>
      <c r="I196">
        <v>117.39</v>
      </c>
    </row>
    <row r="197" spans="1:9">
      <c r="A197">
        <v>196</v>
      </c>
      <c r="B197">
        <v>2024</v>
      </c>
      <c r="C197" t="s">
        <v>27</v>
      </c>
      <c r="D197" t="s">
        <v>41</v>
      </c>
      <c r="E197">
        <v>34</v>
      </c>
      <c r="F197">
        <v>52</v>
      </c>
      <c r="G197">
        <v>7</v>
      </c>
      <c r="H197">
        <v>3</v>
      </c>
      <c r="I197">
        <v>65.38</v>
      </c>
    </row>
    <row r="198" spans="1:9">
      <c r="A198">
        <v>197</v>
      </c>
      <c r="B198">
        <v>2022</v>
      </c>
      <c r="C198" t="s">
        <v>56</v>
      </c>
      <c r="D198" t="s">
        <v>44</v>
      </c>
      <c r="E198">
        <v>42</v>
      </c>
      <c r="F198">
        <v>30</v>
      </c>
      <c r="G198">
        <v>2</v>
      </c>
      <c r="H198">
        <v>0</v>
      </c>
      <c r="I198">
        <v>140</v>
      </c>
    </row>
    <row r="199" spans="1:9">
      <c r="A199">
        <v>198</v>
      </c>
      <c r="B199">
        <v>2024</v>
      </c>
      <c r="C199" t="s">
        <v>50</v>
      </c>
      <c r="D199" t="s">
        <v>33</v>
      </c>
      <c r="E199">
        <v>17</v>
      </c>
      <c r="F199">
        <v>40</v>
      </c>
      <c r="G199">
        <v>1</v>
      </c>
      <c r="H199">
        <v>2</v>
      </c>
      <c r="I199">
        <v>42.5</v>
      </c>
    </row>
    <row r="200" spans="1:9">
      <c r="A200">
        <v>199</v>
      </c>
      <c r="B200">
        <v>2022</v>
      </c>
      <c r="C200" t="s">
        <v>47</v>
      </c>
      <c r="D200" t="s">
        <v>74</v>
      </c>
      <c r="E200">
        <v>43</v>
      </c>
      <c r="F200">
        <v>26</v>
      </c>
      <c r="G200">
        <v>3</v>
      </c>
      <c r="H200">
        <v>4</v>
      </c>
      <c r="I200">
        <v>165.38</v>
      </c>
    </row>
    <row r="201" spans="1:9">
      <c r="A201">
        <v>200</v>
      </c>
      <c r="B201">
        <v>2025</v>
      </c>
      <c r="C201" t="s">
        <v>50</v>
      </c>
      <c r="D201" t="s">
        <v>39</v>
      </c>
      <c r="E201">
        <v>73</v>
      </c>
      <c r="F201">
        <v>26</v>
      </c>
      <c r="G201">
        <v>8</v>
      </c>
      <c r="H201">
        <v>3</v>
      </c>
      <c r="I201">
        <v>280.77</v>
      </c>
    </row>
    <row r="202" spans="1:9">
      <c r="A202">
        <v>201</v>
      </c>
      <c r="B202">
        <v>2025</v>
      </c>
      <c r="C202" t="s">
        <v>21</v>
      </c>
      <c r="D202" t="s">
        <v>74</v>
      </c>
      <c r="E202">
        <v>55</v>
      </c>
      <c r="F202">
        <v>67</v>
      </c>
      <c r="G202">
        <v>9</v>
      </c>
      <c r="H202">
        <v>6</v>
      </c>
      <c r="I202">
        <v>82.09</v>
      </c>
    </row>
    <row r="203" spans="1:9">
      <c r="A203">
        <v>202</v>
      </c>
      <c r="B203">
        <v>2025</v>
      </c>
      <c r="C203" t="s">
        <v>47</v>
      </c>
      <c r="D203" t="s">
        <v>44</v>
      </c>
      <c r="E203">
        <v>13</v>
      </c>
      <c r="F203">
        <v>6</v>
      </c>
      <c r="G203">
        <v>3</v>
      </c>
      <c r="H203">
        <v>1</v>
      </c>
      <c r="I203">
        <v>216.67</v>
      </c>
    </row>
    <row r="204" spans="1:9">
      <c r="A204">
        <v>203</v>
      </c>
      <c r="B204">
        <v>2023</v>
      </c>
      <c r="C204" t="s">
        <v>22</v>
      </c>
      <c r="D204" t="s">
        <v>81</v>
      </c>
      <c r="E204">
        <v>56</v>
      </c>
      <c r="F204">
        <v>60</v>
      </c>
      <c r="G204">
        <v>9</v>
      </c>
      <c r="H204">
        <v>2</v>
      </c>
      <c r="I204">
        <v>93.33</v>
      </c>
    </row>
    <row r="205" spans="1:9">
      <c r="A205">
        <v>204</v>
      </c>
      <c r="B205">
        <v>2022</v>
      </c>
      <c r="C205" t="s">
        <v>50</v>
      </c>
      <c r="D205" t="s">
        <v>87</v>
      </c>
      <c r="E205">
        <v>11</v>
      </c>
      <c r="F205">
        <v>58</v>
      </c>
      <c r="G205">
        <v>0</v>
      </c>
      <c r="H205">
        <v>1</v>
      </c>
      <c r="I205">
        <v>18.97</v>
      </c>
    </row>
    <row r="206" spans="1:9">
      <c r="A206">
        <v>205</v>
      </c>
      <c r="B206">
        <v>2025</v>
      </c>
      <c r="C206" t="s">
        <v>36</v>
      </c>
      <c r="D206" t="s">
        <v>33</v>
      </c>
      <c r="E206">
        <v>100</v>
      </c>
      <c r="F206">
        <v>59</v>
      </c>
      <c r="G206">
        <v>7</v>
      </c>
      <c r="H206">
        <v>1</v>
      </c>
      <c r="I206">
        <v>169.49</v>
      </c>
    </row>
    <row r="207" spans="1:9">
      <c r="A207">
        <v>206</v>
      </c>
      <c r="B207">
        <v>2021</v>
      </c>
      <c r="C207" t="s">
        <v>47</v>
      </c>
      <c r="D207" t="s">
        <v>116</v>
      </c>
      <c r="E207">
        <v>10</v>
      </c>
      <c r="F207">
        <v>35</v>
      </c>
      <c r="G207">
        <v>2</v>
      </c>
      <c r="H207">
        <v>0</v>
      </c>
      <c r="I207">
        <v>28.57</v>
      </c>
    </row>
    <row r="208" spans="1:9">
      <c r="A208">
        <v>207</v>
      </c>
      <c r="B208">
        <v>2022</v>
      </c>
      <c r="C208" t="s">
        <v>32</v>
      </c>
      <c r="D208" t="s">
        <v>66</v>
      </c>
      <c r="E208">
        <v>45</v>
      </c>
      <c r="F208">
        <v>21</v>
      </c>
      <c r="G208">
        <v>4</v>
      </c>
      <c r="H208">
        <v>3</v>
      </c>
      <c r="I208">
        <v>214.29</v>
      </c>
    </row>
    <row r="209" spans="1:9">
      <c r="A209">
        <v>208</v>
      </c>
      <c r="B209">
        <v>2023</v>
      </c>
      <c r="C209" t="s">
        <v>21</v>
      </c>
      <c r="D209" t="s">
        <v>87</v>
      </c>
      <c r="E209">
        <v>78</v>
      </c>
      <c r="F209">
        <v>66</v>
      </c>
      <c r="G209">
        <v>2</v>
      </c>
      <c r="H209">
        <v>7</v>
      </c>
      <c r="I209">
        <v>118.18</v>
      </c>
    </row>
    <row r="210" spans="1:9">
      <c r="A210">
        <v>209</v>
      </c>
      <c r="B210">
        <v>2025</v>
      </c>
      <c r="C210" t="s">
        <v>50</v>
      </c>
      <c r="D210" t="s">
        <v>62</v>
      </c>
      <c r="E210">
        <v>14</v>
      </c>
      <c r="F210">
        <v>8</v>
      </c>
      <c r="G210">
        <v>3</v>
      </c>
      <c r="H210">
        <v>1</v>
      </c>
      <c r="I210">
        <v>175</v>
      </c>
    </row>
    <row r="211" spans="1:9">
      <c r="A211">
        <v>210</v>
      </c>
      <c r="B211">
        <v>2021</v>
      </c>
      <c r="C211" t="s">
        <v>32</v>
      </c>
      <c r="D211" t="s">
        <v>39</v>
      </c>
      <c r="E211">
        <v>118</v>
      </c>
      <c r="F211">
        <v>52</v>
      </c>
      <c r="G211">
        <v>11</v>
      </c>
      <c r="H211">
        <v>0</v>
      </c>
      <c r="I211">
        <v>226.92</v>
      </c>
    </row>
    <row r="212" spans="1:9">
      <c r="A212">
        <v>211</v>
      </c>
      <c r="B212">
        <v>2025</v>
      </c>
      <c r="C212" t="s">
        <v>21</v>
      </c>
      <c r="D212" t="s">
        <v>41</v>
      </c>
      <c r="E212">
        <v>8</v>
      </c>
      <c r="F212">
        <v>47</v>
      </c>
      <c r="G212">
        <v>2</v>
      </c>
      <c r="H212">
        <v>0</v>
      </c>
      <c r="I212">
        <v>17.02</v>
      </c>
    </row>
    <row r="213" spans="1:9">
      <c r="A213">
        <v>212</v>
      </c>
      <c r="B213">
        <v>2025</v>
      </c>
      <c r="C213" t="s">
        <v>15</v>
      </c>
      <c r="D213" t="s">
        <v>90</v>
      </c>
      <c r="E213">
        <v>87</v>
      </c>
      <c r="F213">
        <v>31</v>
      </c>
      <c r="G213">
        <v>1</v>
      </c>
      <c r="H213">
        <v>5</v>
      </c>
      <c r="I213">
        <v>280.64999999999998</v>
      </c>
    </row>
    <row r="214" spans="1:9">
      <c r="A214">
        <v>213</v>
      </c>
      <c r="B214">
        <v>2024</v>
      </c>
      <c r="C214" t="s">
        <v>14</v>
      </c>
      <c r="D214" t="s">
        <v>152</v>
      </c>
      <c r="E214">
        <v>13</v>
      </c>
      <c r="F214">
        <v>51</v>
      </c>
      <c r="G214">
        <v>1</v>
      </c>
      <c r="H214">
        <v>1</v>
      </c>
      <c r="I214">
        <v>25.49</v>
      </c>
    </row>
    <row r="215" spans="1:9">
      <c r="A215">
        <v>214</v>
      </c>
      <c r="B215">
        <v>2024</v>
      </c>
      <c r="C215" t="s">
        <v>56</v>
      </c>
      <c r="D215" t="s">
        <v>76</v>
      </c>
      <c r="E215">
        <v>11</v>
      </c>
      <c r="F215">
        <v>10</v>
      </c>
      <c r="G215">
        <v>2</v>
      </c>
      <c r="H215">
        <v>1</v>
      </c>
      <c r="I215">
        <v>110</v>
      </c>
    </row>
    <row r="216" spans="1:9">
      <c r="A216">
        <v>215</v>
      </c>
      <c r="B216">
        <v>2022</v>
      </c>
      <c r="C216" t="s">
        <v>36</v>
      </c>
      <c r="D216" t="s">
        <v>64</v>
      </c>
      <c r="E216">
        <v>17</v>
      </c>
      <c r="F216">
        <v>31</v>
      </c>
      <c r="G216">
        <v>4</v>
      </c>
      <c r="H216">
        <v>1</v>
      </c>
      <c r="I216">
        <v>54.84</v>
      </c>
    </row>
    <row r="217" spans="1:9">
      <c r="A217">
        <v>216</v>
      </c>
      <c r="B217">
        <v>2022</v>
      </c>
      <c r="C217" t="s">
        <v>36</v>
      </c>
      <c r="D217" t="s">
        <v>17</v>
      </c>
      <c r="E217">
        <v>53</v>
      </c>
      <c r="F217">
        <v>66</v>
      </c>
      <c r="G217">
        <v>12</v>
      </c>
      <c r="H217">
        <v>3</v>
      </c>
      <c r="I217">
        <v>80.3</v>
      </c>
    </row>
    <row r="218" spans="1:9">
      <c r="A218">
        <v>217</v>
      </c>
      <c r="B218">
        <v>2022</v>
      </c>
      <c r="C218" t="s">
        <v>56</v>
      </c>
      <c r="D218" t="s">
        <v>57</v>
      </c>
      <c r="E218">
        <v>64</v>
      </c>
      <c r="F218">
        <v>39</v>
      </c>
      <c r="G218">
        <v>10</v>
      </c>
      <c r="H218">
        <v>6</v>
      </c>
      <c r="I218">
        <v>164.1</v>
      </c>
    </row>
    <row r="219" spans="1:9">
      <c r="A219">
        <v>218</v>
      </c>
      <c r="B219">
        <v>2023</v>
      </c>
      <c r="C219" t="s">
        <v>15</v>
      </c>
      <c r="D219" t="s">
        <v>33</v>
      </c>
      <c r="E219">
        <v>23</v>
      </c>
      <c r="F219">
        <v>13</v>
      </c>
      <c r="G219">
        <v>5</v>
      </c>
      <c r="H219">
        <v>2</v>
      </c>
      <c r="I219">
        <v>176.92</v>
      </c>
    </row>
    <row r="220" spans="1:9">
      <c r="A220">
        <v>219</v>
      </c>
      <c r="B220">
        <v>2022</v>
      </c>
      <c r="C220" t="s">
        <v>47</v>
      </c>
      <c r="D220" t="s">
        <v>152</v>
      </c>
      <c r="E220">
        <v>30</v>
      </c>
      <c r="F220">
        <v>20</v>
      </c>
      <c r="G220">
        <v>7</v>
      </c>
      <c r="H220">
        <v>2</v>
      </c>
      <c r="I220">
        <v>150</v>
      </c>
    </row>
    <row r="221" spans="1:9">
      <c r="A221">
        <v>220</v>
      </c>
      <c r="B221">
        <v>2025</v>
      </c>
      <c r="C221" t="s">
        <v>36</v>
      </c>
      <c r="D221" t="s">
        <v>53</v>
      </c>
      <c r="E221">
        <v>94</v>
      </c>
      <c r="F221">
        <v>62</v>
      </c>
      <c r="G221">
        <v>12</v>
      </c>
      <c r="H221">
        <v>1</v>
      </c>
      <c r="I221">
        <v>151.61000000000001</v>
      </c>
    </row>
    <row r="222" spans="1:9">
      <c r="A222">
        <v>221</v>
      </c>
      <c r="B222">
        <v>2025</v>
      </c>
      <c r="C222" t="s">
        <v>22</v>
      </c>
      <c r="D222" t="s">
        <v>76</v>
      </c>
      <c r="E222">
        <v>5</v>
      </c>
      <c r="F222">
        <v>16</v>
      </c>
      <c r="G222">
        <v>1</v>
      </c>
      <c r="H222">
        <v>0</v>
      </c>
      <c r="I222">
        <v>31.25</v>
      </c>
    </row>
    <row r="223" spans="1:9">
      <c r="A223">
        <v>222</v>
      </c>
      <c r="B223">
        <v>2024</v>
      </c>
      <c r="C223" t="s">
        <v>15</v>
      </c>
      <c r="D223" t="s">
        <v>64</v>
      </c>
      <c r="E223">
        <v>10</v>
      </c>
      <c r="F223">
        <v>18</v>
      </c>
      <c r="G223">
        <v>2</v>
      </c>
      <c r="H223">
        <v>1</v>
      </c>
      <c r="I223">
        <v>55.56</v>
      </c>
    </row>
    <row r="224" spans="1:9">
      <c r="A224">
        <v>223</v>
      </c>
      <c r="B224">
        <v>2023</v>
      </c>
      <c r="C224" t="s">
        <v>27</v>
      </c>
      <c r="D224" t="s">
        <v>116</v>
      </c>
      <c r="E224">
        <v>26</v>
      </c>
      <c r="F224">
        <v>24</v>
      </c>
      <c r="G224">
        <v>6</v>
      </c>
      <c r="H224">
        <v>0</v>
      </c>
      <c r="I224">
        <v>108.33</v>
      </c>
    </row>
    <row r="225" spans="1:9">
      <c r="A225">
        <v>224</v>
      </c>
      <c r="B225">
        <v>2021</v>
      </c>
      <c r="C225" t="s">
        <v>15</v>
      </c>
      <c r="D225" t="s">
        <v>74</v>
      </c>
      <c r="E225">
        <v>60</v>
      </c>
      <c r="F225">
        <v>21</v>
      </c>
      <c r="G225">
        <v>5</v>
      </c>
      <c r="H225">
        <v>6</v>
      </c>
      <c r="I225">
        <v>285.70999999999998</v>
      </c>
    </row>
    <row r="226" spans="1:9">
      <c r="A226">
        <v>225</v>
      </c>
      <c r="B226">
        <v>2023</v>
      </c>
      <c r="C226" t="s">
        <v>47</v>
      </c>
      <c r="D226" t="s">
        <v>87</v>
      </c>
      <c r="E226">
        <v>24</v>
      </c>
      <c r="F226">
        <v>42</v>
      </c>
      <c r="G226">
        <v>1</v>
      </c>
      <c r="H226">
        <v>0</v>
      </c>
      <c r="I226">
        <v>57.14</v>
      </c>
    </row>
    <row r="227" spans="1:9">
      <c r="A227">
        <v>226</v>
      </c>
      <c r="B227">
        <v>2023</v>
      </c>
      <c r="C227" t="s">
        <v>22</v>
      </c>
      <c r="D227" t="s">
        <v>152</v>
      </c>
      <c r="E227">
        <v>105</v>
      </c>
      <c r="F227">
        <v>47</v>
      </c>
      <c r="G227">
        <v>9</v>
      </c>
      <c r="H227">
        <v>5</v>
      </c>
      <c r="I227">
        <v>223.4</v>
      </c>
    </row>
    <row r="228" spans="1:9">
      <c r="A228">
        <v>227</v>
      </c>
      <c r="B228">
        <v>2022</v>
      </c>
      <c r="C228" t="s">
        <v>56</v>
      </c>
      <c r="D228" t="s">
        <v>116</v>
      </c>
      <c r="E228">
        <v>117</v>
      </c>
      <c r="F228">
        <v>61</v>
      </c>
      <c r="G228">
        <v>4</v>
      </c>
      <c r="H228">
        <v>2</v>
      </c>
      <c r="I228">
        <v>191.8</v>
      </c>
    </row>
    <row r="229" spans="1:9">
      <c r="A229">
        <v>228</v>
      </c>
      <c r="B229">
        <v>2025</v>
      </c>
      <c r="C229" t="s">
        <v>15</v>
      </c>
      <c r="D229" t="s">
        <v>39</v>
      </c>
      <c r="E229">
        <v>29</v>
      </c>
      <c r="F229">
        <v>38</v>
      </c>
      <c r="G229">
        <v>7</v>
      </c>
      <c r="H229">
        <v>2</v>
      </c>
      <c r="I229">
        <v>76.319999999999993</v>
      </c>
    </row>
    <row r="230" spans="1:9">
      <c r="A230">
        <v>229</v>
      </c>
      <c r="B230">
        <v>2024</v>
      </c>
      <c r="C230" t="s">
        <v>15</v>
      </c>
      <c r="D230" t="s">
        <v>33</v>
      </c>
      <c r="E230">
        <v>45</v>
      </c>
      <c r="F230">
        <v>23</v>
      </c>
      <c r="G230">
        <v>4</v>
      </c>
      <c r="H230">
        <v>6</v>
      </c>
      <c r="I230">
        <v>195.65</v>
      </c>
    </row>
    <row r="231" spans="1:9">
      <c r="A231">
        <v>230</v>
      </c>
      <c r="B231">
        <v>2021</v>
      </c>
      <c r="C231" t="s">
        <v>27</v>
      </c>
      <c r="D231" t="s">
        <v>90</v>
      </c>
      <c r="E231">
        <v>68</v>
      </c>
      <c r="F231">
        <v>25</v>
      </c>
      <c r="G231">
        <v>4</v>
      </c>
      <c r="H231">
        <v>2</v>
      </c>
      <c r="I231">
        <v>272</v>
      </c>
    </row>
    <row r="232" spans="1:9">
      <c r="A232">
        <v>231</v>
      </c>
      <c r="B232">
        <v>2021</v>
      </c>
      <c r="C232" t="s">
        <v>27</v>
      </c>
      <c r="D232" t="s">
        <v>29</v>
      </c>
      <c r="E232">
        <v>30</v>
      </c>
      <c r="F232">
        <v>25</v>
      </c>
      <c r="G232">
        <v>1</v>
      </c>
      <c r="H232">
        <v>0</v>
      </c>
      <c r="I232">
        <v>120</v>
      </c>
    </row>
    <row r="233" spans="1:9">
      <c r="A233">
        <v>232</v>
      </c>
      <c r="B233">
        <v>2022</v>
      </c>
      <c r="C233" t="s">
        <v>56</v>
      </c>
      <c r="D233" t="s">
        <v>62</v>
      </c>
      <c r="E233">
        <v>56</v>
      </c>
      <c r="F233">
        <v>21</v>
      </c>
      <c r="G233">
        <v>4</v>
      </c>
      <c r="H233">
        <v>5</v>
      </c>
      <c r="I233">
        <v>266.67</v>
      </c>
    </row>
    <row r="234" spans="1:9">
      <c r="A234">
        <v>233</v>
      </c>
      <c r="B234">
        <v>2022</v>
      </c>
      <c r="C234" t="s">
        <v>27</v>
      </c>
      <c r="D234" t="s">
        <v>66</v>
      </c>
      <c r="E234">
        <v>21</v>
      </c>
      <c r="F234">
        <v>9</v>
      </c>
      <c r="G234">
        <v>5</v>
      </c>
      <c r="H234">
        <v>1</v>
      </c>
      <c r="I234">
        <v>233.33</v>
      </c>
    </row>
    <row r="235" spans="1:9">
      <c r="A235">
        <v>234</v>
      </c>
      <c r="B235">
        <v>2025</v>
      </c>
      <c r="C235" t="s">
        <v>27</v>
      </c>
      <c r="D235" t="s">
        <v>57</v>
      </c>
      <c r="E235">
        <v>41</v>
      </c>
      <c r="F235">
        <v>62</v>
      </c>
      <c r="G235">
        <v>8</v>
      </c>
      <c r="H235">
        <v>4</v>
      </c>
      <c r="I235">
        <v>66.13</v>
      </c>
    </row>
    <row r="236" spans="1:9">
      <c r="A236">
        <v>235</v>
      </c>
      <c r="B236">
        <v>2023</v>
      </c>
      <c r="C236" t="s">
        <v>21</v>
      </c>
      <c r="D236" t="s">
        <v>87</v>
      </c>
      <c r="E236">
        <v>127</v>
      </c>
      <c r="F236">
        <v>56</v>
      </c>
      <c r="G236">
        <v>12</v>
      </c>
      <c r="H236">
        <v>2</v>
      </c>
      <c r="I236">
        <v>226.79</v>
      </c>
    </row>
    <row r="237" spans="1:9">
      <c r="A237">
        <v>236</v>
      </c>
      <c r="B237">
        <v>2024</v>
      </c>
      <c r="C237" t="s">
        <v>47</v>
      </c>
      <c r="D237" t="s">
        <v>81</v>
      </c>
      <c r="E237">
        <v>0</v>
      </c>
      <c r="F237">
        <v>24</v>
      </c>
      <c r="G237">
        <v>0</v>
      </c>
      <c r="H237">
        <v>0</v>
      </c>
      <c r="I237">
        <v>0</v>
      </c>
    </row>
    <row r="238" spans="1:9">
      <c r="A238">
        <v>237</v>
      </c>
      <c r="B238">
        <v>2025</v>
      </c>
      <c r="C238" t="s">
        <v>36</v>
      </c>
      <c r="D238" t="s">
        <v>81</v>
      </c>
      <c r="E238">
        <v>60</v>
      </c>
      <c r="F238">
        <v>42</v>
      </c>
      <c r="G238">
        <v>4</v>
      </c>
      <c r="H238">
        <v>2</v>
      </c>
      <c r="I238">
        <v>142.86000000000001</v>
      </c>
    </row>
    <row r="239" spans="1:9">
      <c r="A239">
        <v>238</v>
      </c>
      <c r="B239">
        <v>2023</v>
      </c>
      <c r="C239" t="s">
        <v>50</v>
      </c>
      <c r="D239" t="s">
        <v>76</v>
      </c>
      <c r="E239">
        <v>28</v>
      </c>
      <c r="F239">
        <v>48</v>
      </c>
      <c r="G239">
        <v>7</v>
      </c>
      <c r="H239">
        <v>2</v>
      </c>
      <c r="I239">
        <v>58.33</v>
      </c>
    </row>
    <row r="240" spans="1:9">
      <c r="A240">
        <v>239</v>
      </c>
      <c r="B240">
        <v>2024</v>
      </c>
      <c r="C240" t="s">
        <v>14</v>
      </c>
      <c r="D240" t="s">
        <v>29</v>
      </c>
      <c r="E240">
        <v>19</v>
      </c>
      <c r="F240">
        <v>19</v>
      </c>
      <c r="G240">
        <v>0</v>
      </c>
      <c r="H240">
        <v>3</v>
      </c>
      <c r="I240">
        <v>100</v>
      </c>
    </row>
    <row r="241" spans="1:9">
      <c r="A241">
        <v>240</v>
      </c>
      <c r="B241">
        <v>2023</v>
      </c>
      <c r="C241" t="s">
        <v>50</v>
      </c>
      <c r="D241" t="s">
        <v>95</v>
      </c>
      <c r="E241">
        <v>91</v>
      </c>
      <c r="F241">
        <v>62</v>
      </c>
      <c r="G241">
        <v>1</v>
      </c>
      <c r="H241">
        <v>5</v>
      </c>
      <c r="I241">
        <v>146.77000000000001</v>
      </c>
    </row>
    <row r="242" spans="1:9">
      <c r="A242">
        <v>241</v>
      </c>
      <c r="B242">
        <v>2025</v>
      </c>
      <c r="C242" t="s">
        <v>14</v>
      </c>
      <c r="D242" t="s">
        <v>90</v>
      </c>
      <c r="E242">
        <v>74</v>
      </c>
      <c r="F242">
        <v>29</v>
      </c>
      <c r="G242">
        <v>8</v>
      </c>
      <c r="H242">
        <v>3</v>
      </c>
      <c r="I242">
        <v>255.17</v>
      </c>
    </row>
    <row r="243" spans="1:9">
      <c r="A243">
        <v>242</v>
      </c>
      <c r="B243">
        <v>2023</v>
      </c>
      <c r="C243" t="s">
        <v>15</v>
      </c>
      <c r="D243" t="s">
        <v>66</v>
      </c>
      <c r="E243">
        <v>2</v>
      </c>
      <c r="F243">
        <v>7</v>
      </c>
      <c r="G243">
        <v>0</v>
      </c>
      <c r="H243">
        <v>0</v>
      </c>
      <c r="I243">
        <v>28.57</v>
      </c>
    </row>
    <row r="244" spans="1:9">
      <c r="A244">
        <v>243</v>
      </c>
      <c r="B244">
        <v>2024</v>
      </c>
      <c r="C244" t="s">
        <v>21</v>
      </c>
      <c r="D244" t="s">
        <v>152</v>
      </c>
      <c r="E244">
        <v>49</v>
      </c>
      <c r="F244">
        <v>55</v>
      </c>
      <c r="G244">
        <v>7</v>
      </c>
      <c r="H244">
        <v>5</v>
      </c>
      <c r="I244">
        <v>89.09</v>
      </c>
    </row>
    <row r="245" spans="1:9">
      <c r="A245">
        <v>244</v>
      </c>
      <c r="B245">
        <v>2025</v>
      </c>
      <c r="C245" t="s">
        <v>50</v>
      </c>
      <c r="D245" t="s">
        <v>90</v>
      </c>
      <c r="E245">
        <v>14</v>
      </c>
      <c r="F245">
        <v>70</v>
      </c>
      <c r="G245">
        <v>3</v>
      </c>
      <c r="H245">
        <v>1</v>
      </c>
      <c r="I245">
        <v>20</v>
      </c>
    </row>
    <row r="246" spans="1:9">
      <c r="A246">
        <v>245</v>
      </c>
      <c r="B246">
        <v>2024</v>
      </c>
      <c r="C246" t="s">
        <v>32</v>
      </c>
      <c r="D246" t="s">
        <v>29</v>
      </c>
      <c r="E246">
        <v>94</v>
      </c>
      <c r="F246">
        <v>59</v>
      </c>
      <c r="G246">
        <v>6</v>
      </c>
      <c r="H246">
        <v>5</v>
      </c>
      <c r="I246">
        <v>159.32</v>
      </c>
    </row>
    <row r="247" spans="1:9">
      <c r="A247">
        <v>246</v>
      </c>
      <c r="B247">
        <v>2025</v>
      </c>
      <c r="C247" t="s">
        <v>14</v>
      </c>
      <c r="D247" t="s">
        <v>53</v>
      </c>
      <c r="E247">
        <v>89</v>
      </c>
      <c r="F247">
        <v>49</v>
      </c>
      <c r="G247">
        <v>4</v>
      </c>
      <c r="H247">
        <v>7</v>
      </c>
      <c r="I247">
        <v>181.63</v>
      </c>
    </row>
    <row r="248" spans="1:9">
      <c r="A248">
        <v>247</v>
      </c>
      <c r="B248">
        <v>2023</v>
      </c>
      <c r="C248" t="s">
        <v>36</v>
      </c>
      <c r="D248" t="s">
        <v>64</v>
      </c>
      <c r="E248">
        <v>93</v>
      </c>
      <c r="F248">
        <v>32</v>
      </c>
      <c r="G248">
        <v>7</v>
      </c>
      <c r="H248">
        <v>6</v>
      </c>
      <c r="I248">
        <v>290.62</v>
      </c>
    </row>
    <row r="249" spans="1:9">
      <c r="A249">
        <v>248</v>
      </c>
      <c r="B249">
        <v>2025</v>
      </c>
      <c r="C249" t="s">
        <v>47</v>
      </c>
      <c r="D249" t="s">
        <v>53</v>
      </c>
      <c r="E249">
        <v>54</v>
      </c>
      <c r="F249">
        <v>25</v>
      </c>
      <c r="G249">
        <v>11</v>
      </c>
      <c r="H249">
        <v>5</v>
      </c>
      <c r="I249">
        <v>216</v>
      </c>
    </row>
    <row r="250" spans="1:9">
      <c r="A250">
        <v>249</v>
      </c>
      <c r="B250">
        <v>2023</v>
      </c>
      <c r="C250" t="s">
        <v>27</v>
      </c>
      <c r="D250" t="s">
        <v>62</v>
      </c>
      <c r="E250">
        <v>9</v>
      </c>
      <c r="F250">
        <v>16</v>
      </c>
      <c r="G250">
        <v>2</v>
      </c>
      <c r="H250">
        <v>0</v>
      </c>
      <c r="I250">
        <v>56.25</v>
      </c>
    </row>
    <row r="251" spans="1:9">
      <c r="A251">
        <v>250</v>
      </c>
      <c r="B251">
        <v>2023</v>
      </c>
      <c r="C251" t="s">
        <v>47</v>
      </c>
      <c r="D251" t="s">
        <v>152</v>
      </c>
      <c r="E251">
        <v>16</v>
      </c>
      <c r="F251">
        <v>47</v>
      </c>
      <c r="G251">
        <v>4</v>
      </c>
      <c r="H251">
        <v>1</v>
      </c>
      <c r="I251">
        <v>34.04</v>
      </c>
    </row>
    <row r="252" spans="1:9">
      <c r="A252">
        <v>251</v>
      </c>
      <c r="B252">
        <v>2021</v>
      </c>
      <c r="C252" t="s">
        <v>21</v>
      </c>
      <c r="D252" t="s">
        <v>87</v>
      </c>
      <c r="E252">
        <v>69</v>
      </c>
      <c r="F252">
        <v>57</v>
      </c>
      <c r="G252">
        <v>6</v>
      </c>
      <c r="H252">
        <v>2</v>
      </c>
      <c r="I252">
        <v>121.05</v>
      </c>
    </row>
    <row r="253" spans="1:9">
      <c r="A253">
        <v>252</v>
      </c>
      <c r="B253">
        <v>2022</v>
      </c>
      <c r="C253" t="s">
        <v>36</v>
      </c>
      <c r="D253" t="s">
        <v>76</v>
      </c>
      <c r="E253">
        <v>25</v>
      </c>
      <c r="F253">
        <v>22</v>
      </c>
      <c r="G253">
        <v>2</v>
      </c>
      <c r="H253">
        <v>3</v>
      </c>
      <c r="I253">
        <v>113.64</v>
      </c>
    </row>
    <row r="254" spans="1:9">
      <c r="A254">
        <v>253</v>
      </c>
      <c r="B254">
        <v>2024</v>
      </c>
      <c r="C254" t="s">
        <v>15</v>
      </c>
      <c r="D254" t="s">
        <v>23</v>
      </c>
      <c r="E254">
        <v>10</v>
      </c>
      <c r="F254">
        <v>67</v>
      </c>
      <c r="G254">
        <v>2</v>
      </c>
      <c r="H254">
        <v>1</v>
      </c>
      <c r="I254">
        <v>14.93</v>
      </c>
    </row>
    <row r="255" spans="1:9">
      <c r="A255">
        <v>254</v>
      </c>
      <c r="B255">
        <v>2023</v>
      </c>
      <c r="C255" t="s">
        <v>47</v>
      </c>
      <c r="D255" t="s">
        <v>23</v>
      </c>
      <c r="E255">
        <v>57</v>
      </c>
      <c r="F255">
        <v>64</v>
      </c>
      <c r="G255">
        <v>0</v>
      </c>
      <c r="H255">
        <v>0</v>
      </c>
      <c r="I255">
        <v>89.06</v>
      </c>
    </row>
    <row r="256" spans="1:9">
      <c r="A256">
        <v>255</v>
      </c>
      <c r="B256">
        <v>2024</v>
      </c>
      <c r="C256" t="s">
        <v>27</v>
      </c>
      <c r="D256" t="s">
        <v>44</v>
      </c>
      <c r="E256">
        <v>120</v>
      </c>
      <c r="F256">
        <v>43</v>
      </c>
      <c r="G256">
        <v>1</v>
      </c>
      <c r="H256">
        <v>4</v>
      </c>
      <c r="I256">
        <v>279.07</v>
      </c>
    </row>
    <row r="257" spans="1:9">
      <c r="A257">
        <v>256</v>
      </c>
      <c r="B257">
        <v>2023</v>
      </c>
      <c r="C257" t="s">
        <v>32</v>
      </c>
      <c r="D257" t="s">
        <v>39</v>
      </c>
      <c r="E257">
        <v>62</v>
      </c>
      <c r="F257">
        <v>67</v>
      </c>
      <c r="G257">
        <v>0</v>
      </c>
      <c r="H257">
        <v>1</v>
      </c>
      <c r="I257">
        <v>92.54</v>
      </c>
    </row>
    <row r="258" spans="1:9">
      <c r="A258">
        <v>257</v>
      </c>
      <c r="B258">
        <v>2022</v>
      </c>
      <c r="C258" t="s">
        <v>15</v>
      </c>
      <c r="D258" t="s">
        <v>116</v>
      </c>
      <c r="E258">
        <v>38</v>
      </c>
      <c r="F258">
        <v>13</v>
      </c>
      <c r="G258">
        <v>9</v>
      </c>
      <c r="H258">
        <v>3</v>
      </c>
      <c r="I258">
        <v>292.31</v>
      </c>
    </row>
    <row r="259" spans="1:9">
      <c r="A259">
        <v>258</v>
      </c>
      <c r="B259">
        <v>2022</v>
      </c>
      <c r="C259" t="s">
        <v>50</v>
      </c>
      <c r="D259" t="s">
        <v>116</v>
      </c>
      <c r="E259">
        <v>66</v>
      </c>
      <c r="F259">
        <v>60</v>
      </c>
      <c r="G259">
        <v>10</v>
      </c>
      <c r="H259">
        <v>7</v>
      </c>
      <c r="I259">
        <v>110</v>
      </c>
    </row>
    <row r="260" spans="1:9">
      <c r="A260">
        <v>259</v>
      </c>
      <c r="B260">
        <v>2023</v>
      </c>
      <c r="C260" t="s">
        <v>21</v>
      </c>
      <c r="D260" t="s">
        <v>57</v>
      </c>
      <c r="E260">
        <v>4</v>
      </c>
      <c r="F260">
        <v>70</v>
      </c>
      <c r="G260">
        <v>1</v>
      </c>
      <c r="H260">
        <v>0</v>
      </c>
      <c r="I260">
        <v>5.71</v>
      </c>
    </row>
    <row r="261" spans="1:9">
      <c r="A261">
        <v>260</v>
      </c>
      <c r="B261">
        <v>2024</v>
      </c>
      <c r="C261" t="s">
        <v>50</v>
      </c>
      <c r="D261" t="s">
        <v>33</v>
      </c>
      <c r="E261">
        <v>40</v>
      </c>
      <c r="F261">
        <v>23</v>
      </c>
      <c r="G261">
        <v>7</v>
      </c>
      <c r="H261">
        <v>2</v>
      </c>
      <c r="I261">
        <v>173.91</v>
      </c>
    </row>
    <row r="262" spans="1:9">
      <c r="A262">
        <v>261</v>
      </c>
      <c r="B262">
        <v>2023</v>
      </c>
      <c r="C262" t="s">
        <v>56</v>
      </c>
      <c r="D262" t="s">
        <v>39</v>
      </c>
      <c r="E262">
        <v>17</v>
      </c>
      <c r="F262">
        <v>11</v>
      </c>
      <c r="G262">
        <v>4</v>
      </c>
      <c r="H262">
        <v>1</v>
      </c>
      <c r="I262">
        <v>154.55000000000001</v>
      </c>
    </row>
    <row r="263" spans="1:9">
      <c r="A263">
        <v>262</v>
      </c>
      <c r="B263">
        <v>2024</v>
      </c>
      <c r="C263" t="s">
        <v>56</v>
      </c>
      <c r="D263" t="s">
        <v>33</v>
      </c>
      <c r="E263">
        <v>37</v>
      </c>
      <c r="F263">
        <v>42</v>
      </c>
      <c r="G263">
        <v>8</v>
      </c>
      <c r="H263">
        <v>1</v>
      </c>
      <c r="I263">
        <v>88.1</v>
      </c>
    </row>
    <row r="264" spans="1:9">
      <c r="A264">
        <v>263</v>
      </c>
      <c r="B264">
        <v>2021</v>
      </c>
      <c r="C264" t="s">
        <v>36</v>
      </c>
      <c r="D264" t="s">
        <v>66</v>
      </c>
      <c r="E264">
        <v>12</v>
      </c>
      <c r="F264">
        <v>28</v>
      </c>
      <c r="G264">
        <v>3</v>
      </c>
      <c r="H264">
        <v>1</v>
      </c>
      <c r="I264">
        <v>42.86</v>
      </c>
    </row>
    <row r="265" spans="1:9">
      <c r="A265">
        <v>264</v>
      </c>
      <c r="B265">
        <v>2022</v>
      </c>
      <c r="C265" t="s">
        <v>36</v>
      </c>
      <c r="D265" t="s">
        <v>81</v>
      </c>
      <c r="E265">
        <v>77</v>
      </c>
      <c r="F265">
        <v>45</v>
      </c>
      <c r="G265">
        <v>4</v>
      </c>
      <c r="H265">
        <v>5</v>
      </c>
      <c r="I265">
        <v>171.11</v>
      </c>
    </row>
    <row r="266" spans="1:9">
      <c r="A266">
        <v>265</v>
      </c>
      <c r="B266">
        <v>2025</v>
      </c>
      <c r="C266" t="s">
        <v>21</v>
      </c>
      <c r="D266" t="s">
        <v>23</v>
      </c>
      <c r="E266">
        <v>36</v>
      </c>
      <c r="F266">
        <v>50</v>
      </c>
      <c r="G266">
        <v>0</v>
      </c>
      <c r="H266">
        <v>2</v>
      </c>
      <c r="I266">
        <v>72</v>
      </c>
    </row>
    <row r="267" spans="1:9">
      <c r="A267">
        <v>266</v>
      </c>
      <c r="B267">
        <v>2023</v>
      </c>
      <c r="C267" t="s">
        <v>36</v>
      </c>
      <c r="D267" t="s">
        <v>53</v>
      </c>
      <c r="E267">
        <v>124</v>
      </c>
      <c r="F267">
        <v>52</v>
      </c>
      <c r="G267">
        <v>6</v>
      </c>
      <c r="H267">
        <v>5</v>
      </c>
      <c r="I267">
        <v>238.46</v>
      </c>
    </row>
    <row r="268" spans="1:9">
      <c r="A268">
        <v>267</v>
      </c>
      <c r="B268">
        <v>2021</v>
      </c>
      <c r="C268" t="s">
        <v>27</v>
      </c>
      <c r="D268" t="s">
        <v>17</v>
      </c>
      <c r="E268">
        <v>19</v>
      </c>
      <c r="F268">
        <v>32</v>
      </c>
      <c r="G268">
        <v>4</v>
      </c>
      <c r="H268">
        <v>1</v>
      </c>
      <c r="I268">
        <v>59.38</v>
      </c>
    </row>
    <row r="269" spans="1:9">
      <c r="A269">
        <v>268</v>
      </c>
      <c r="B269">
        <v>2021</v>
      </c>
      <c r="C269" t="s">
        <v>22</v>
      </c>
      <c r="D269" t="s">
        <v>23</v>
      </c>
      <c r="E269">
        <v>26</v>
      </c>
      <c r="F269">
        <v>19</v>
      </c>
      <c r="G269">
        <v>6</v>
      </c>
      <c r="H269">
        <v>1</v>
      </c>
      <c r="I269">
        <v>136.84</v>
      </c>
    </row>
    <row r="270" spans="1:9">
      <c r="A270">
        <v>269</v>
      </c>
      <c r="B270">
        <v>2023</v>
      </c>
      <c r="C270" t="s">
        <v>21</v>
      </c>
      <c r="D270" t="s">
        <v>29</v>
      </c>
      <c r="E270">
        <v>15</v>
      </c>
      <c r="F270">
        <v>7</v>
      </c>
      <c r="G270">
        <v>3</v>
      </c>
      <c r="H270">
        <v>1</v>
      </c>
      <c r="I270">
        <v>214.29</v>
      </c>
    </row>
    <row r="271" spans="1:9">
      <c r="A271">
        <v>270</v>
      </c>
      <c r="B271">
        <v>2021</v>
      </c>
      <c r="C271" t="s">
        <v>56</v>
      </c>
      <c r="D271" t="s">
        <v>29</v>
      </c>
      <c r="E271">
        <v>87</v>
      </c>
      <c r="F271">
        <v>61</v>
      </c>
      <c r="G271">
        <v>2</v>
      </c>
      <c r="H271">
        <v>4</v>
      </c>
      <c r="I271">
        <v>142.62</v>
      </c>
    </row>
    <row r="272" spans="1:9">
      <c r="A272">
        <v>271</v>
      </c>
      <c r="B272">
        <v>2023</v>
      </c>
      <c r="C272" t="s">
        <v>14</v>
      </c>
      <c r="D272" t="s">
        <v>17</v>
      </c>
      <c r="E272">
        <v>16</v>
      </c>
      <c r="F272">
        <v>33</v>
      </c>
      <c r="G272">
        <v>4</v>
      </c>
      <c r="H272">
        <v>1</v>
      </c>
      <c r="I272">
        <v>48.48</v>
      </c>
    </row>
    <row r="273" spans="1:9">
      <c r="A273">
        <v>272</v>
      </c>
      <c r="B273">
        <v>2022</v>
      </c>
      <c r="C273" t="s">
        <v>22</v>
      </c>
      <c r="D273" t="s">
        <v>53</v>
      </c>
      <c r="E273">
        <v>26</v>
      </c>
      <c r="F273">
        <v>21</v>
      </c>
      <c r="G273">
        <v>2</v>
      </c>
      <c r="H273">
        <v>1</v>
      </c>
      <c r="I273">
        <v>123.81</v>
      </c>
    </row>
    <row r="274" spans="1:9">
      <c r="A274">
        <v>273</v>
      </c>
      <c r="B274">
        <v>2025</v>
      </c>
      <c r="C274" t="s">
        <v>32</v>
      </c>
      <c r="D274" t="s">
        <v>17</v>
      </c>
      <c r="E274">
        <v>1</v>
      </c>
      <c r="F274">
        <v>14</v>
      </c>
      <c r="G274">
        <v>0</v>
      </c>
      <c r="H274">
        <v>0</v>
      </c>
      <c r="I274">
        <v>7.14</v>
      </c>
    </row>
    <row r="275" spans="1:9">
      <c r="A275">
        <v>274</v>
      </c>
      <c r="B275">
        <v>2024</v>
      </c>
      <c r="C275" t="s">
        <v>32</v>
      </c>
      <c r="D275" t="s">
        <v>33</v>
      </c>
      <c r="E275">
        <v>13</v>
      </c>
      <c r="F275">
        <v>30</v>
      </c>
      <c r="G275">
        <v>0</v>
      </c>
      <c r="H275">
        <v>2</v>
      </c>
      <c r="I275">
        <v>43.33</v>
      </c>
    </row>
    <row r="276" spans="1:9">
      <c r="A276">
        <v>275</v>
      </c>
      <c r="B276">
        <v>2022</v>
      </c>
      <c r="C276" t="s">
        <v>50</v>
      </c>
      <c r="D276" t="s">
        <v>33</v>
      </c>
      <c r="E276">
        <v>30</v>
      </c>
      <c r="F276">
        <v>65</v>
      </c>
      <c r="G276">
        <v>4</v>
      </c>
      <c r="H276">
        <v>0</v>
      </c>
      <c r="I276">
        <v>46.15</v>
      </c>
    </row>
    <row r="277" spans="1:9">
      <c r="A277">
        <v>276</v>
      </c>
      <c r="B277">
        <v>2025</v>
      </c>
      <c r="C277" t="s">
        <v>21</v>
      </c>
      <c r="D277" t="s">
        <v>53</v>
      </c>
      <c r="E277">
        <v>3</v>
      </c>
      <c r="F277">
        <v>6</v>
      </c>
      <c r="G277">
        <v>0</v>
      </c>
      <c r="H277">
        <v>0</v>
      </c>
      <c r="I277">
        <v>50</v>
      </c>
    </row>
    <row r="278" spans="1:9">
      <c r="A278">
        <v>277</v>
      </c>
      <c r="B278">
        <v>2022</v>
      </c>
      <c r="C278" t="s">
        <v>50</v>
      </c>
      <c r="D278" t="s">
        <v>66</v>
      </c>
      <c r="E278">
        <v>23</v>
      </c>
      <c r="F278">
        <v>30</v>
      </c>
      <c r="G278">
        <v>5</v>
      </c>
      <c r="H278">
        <v>2</v>
      </c>
      <c r="I278">
        <v>76.67</v>
      </c>
    </row>
    <row r="279" spans="1:9">
      <c r="A279">
        <v>278</v>
      </c>
      <c r="B279">
        <v>2025</v>
      </c>
      <c r="C279" t="s">
        <v>14</v>
      </c>
      <c r="D279" t="s">
        <v>64</v>
      </c>
      <c r="E279">
        <v>35</v>
      </c>
      <c r="F279">
        <v>23</v>
      </c>
      <c r="G279">
        <v>8</v>
      </c>
      <c r="H279">
        <v>3</v>
      </c>
      <c r="I279">
        <v>152.16999999999999</v>
      </c>
    </row>
    <row r="280" spans="1:9">
      <c r="A280">
        <v>279</v>
      </c>
      <c r="B280">
        <v>2025</v>
      </c>
      <c r="C280" t="s">
        <v>56</v>
      </c>
      <c r="D280" t="s">
        <v>39</v>
      </c>
      <c r="E280">
        <v>61</v>
      </c>
      <c r="F280">
        <v>69</v>
      </c>
      <c r="G280">
        <v>8</v>
      </c>
      <c r="H280">
        <v>1</v>
      </c>
      <c r="I280">
        <v>88.41</v>
      </c>
    </row>
    <row r="281" spans="1:9">
      <c r="A281">
        <v>280</v>
      </c>
      <c r="B281">
        <v>2025</v>
      </c>
      <c r="C281" t="s">
        <v>21</v>
      </c>
      <c r="D281" t="s">
        <v>62</v>
      </c>
      <c r="E281">
        <v>16</v>
      </c>
      <c r="F281">
        <v>6</v>
      </c>
      <c r="G281">
        <v>3</v>
      </c>
      <c r="H281">
        <v>1</v>
      </c>
      <c r="I281">
        <v>266.67</v>
      </c>
    </row>
    <row r="282" spans="1:9">
      <c r="A282">
        <v>281</v>
      </c>
      <c r="B282">
        <v>2024</v>
      </c>
      <c r="C282" t="s">
        <v>15</v>
      </c>
      <c r="D282" t="s">
        <v>39</v>
      </c>
      <c r="E282">
        <v>3</v>
      </c>
      <c r="F282">
        <v>5</v>
      </c>
      <c r="G282">
        <v>0</v>
      </c>
      <c r="H282">
        <v>0</v>
      </c>
      <c r="I282">
        <v>60</v>
      </c>
    </row>
    <row r="283" spans="1:9">
      <c r="A283">
        <v>282</v>
      </c>
      <c r="B283">
        <v>2021</v>
      </c>
      <c r="C283" t="s">
        <v>47</v>
      </c>
      <c r="D283" t="s">
        <v>57</v>
      </c>
      <c r="E283">
        <v>56</v>
      </c>
      <c r="F283">
        <v>28</v>
      </c>
      <c r="G283">
        <v>10</v>
      </c>
      <c r="H283">
        <v>1</v>
      </c>
      <c r="I283">
        <v>200</v>
      </c>
    </row>
    <row r="284" spans="1:9">
      <c r="A284">
        <v>283</v>
      </c>
      <c r="B284">
        <v>2022</v>
      </c>
      <c r="C284" t="s">
        <v>27</v>
      </c>
      <c r="D284" t="s">
        <v>57</v>
      </c>
      <c r="E284">
        <v>108</v>
      </c>
      <c r="F284">
        <v>53</v>
      </c>
      <c r="G284">
        <v>3</v>
      </c>
      <c r="H284">
        <v>8</v>
      </c>
      <c r="I284">
        <v>203.77</v>
      </c>
    </row>
    <row r="285" spans="1:9">
      <c r="A285">
        <v>284</v>
      </c>
      <c r="B285">
        <v>2021</v>
      </c>
      <c r="C285" t="s">
        <v>22</v>
      </c>
      <c r="D285" t="s">
        <v>74</v>
      </c>
      <c r="E285">
        <v>48</v>
      </c>
      <c r="F285">
        <v>19</v>
      </c>
      <c r="G285">
        <v>5</v>
      </c>
      <c r="H285">
        <v>1</v>
      </c>
      <c r="I285">
        <v>252.63</v>
      </c>
    </row>
    <row r="286" spans="1:9">
      <c r="A286">
        <v>285</v>
      </c>
      <c r="B286">
        <v>2023</v>
      </c>
      <c r="C286" t="s">
        <v>47</v>
      </c>
      <c r="D286" t="s">
        <v>17</v>
      </c>
      <c r="E286">
        <v>63</v>
      </c>
      <c r="F286">
        <v>22</v>
      </c>
      <c r="G286">
        <v>12</v>
      </c>
      <c r="H286">
        <v>5</v>
      </c>
      <c r="I286">
        <v>286.36</v>
      </c>
    </row>
    <row r="287" spans="1:9">
      <c r="A287">
        <v>286</v>
      </c>
      <c r="B287">
        <v>2021</v>
      </c>
      <c r="C287" t="s">
        <v>15</v>
      </c>
      <c r="D287" t="s">
        <v>23</v>
      </c>
      <c r="E287">
        <v>2</v>
      </c>
      <c r="F287">
        <v>10</v>
      </c>
      <c r="G287">
        <v>0</v>
      </c>
      <c r="H287">
        <v>0</v>
      </c>
      <c r="I287">
        <v>20</v>
      </c>
    </row>
    <row r="288" spans="1:9">
      <c r="A288">
        <v>287</v>
      </c>
      <c r="B288">
        <v>2021</v>
      </c>
      <c r="C288" t="s">
        <v>21</v>
      </c>
      <c r="D288" t="s">
        <v>41</v>
      </c>
      <c r="E288">
        <v>58</v>
      </c>
      <c r="F288">
        <v>41</v>
      </c>
      <c r="G288">
        <v>9</v>
      </c>
      <c r="H288">
        <v>4</v>
      </c>
      <c r="I288">
        <v>141.46</v>
      </c>
    </row>
    <row r="289" spans="1:9">
      <c r="A289">
        <v>288</v>
      </c>
      <c r="B289">
        <v>2024</v>
      </c>
      <c r="C289" t="s">
        <v>47</v>
      </c>
      <c r="D289" t="s">
        <v>95</v>
      </c>
      <c r="E289">
        <v>74</v>
      </c>
      <c r="F289">
        <v>57</v>
      </c>
      <c r="G289">
        <v>6</v>
      </c>
      <c r="H289">
        <v>3</v>
      </c>
      <c r="I289">
        <v>129.82</v>
      </c>
    </row>
    <row r="290" spans="1:9">
      <c r="A290">
        <v>289</v>
      </c>
      <c r="B290">
        <v>2021</v>
      </c>
      <c r="C290" t="s">
        <v>21</v>
      </c>
      <c r="D290" t="s">
        <v>116</v>
      </c>
      <c r="E290">
        <v>45</v>
      </c>
      <c r="F290">
        <v>52</v>
      </c>
      <c r="G290">
        <v>0</v>
      </c>
      <c r="H290">
        <v>7</v>
      </c>
      <c r="I290">
        <v>86.54</v>
      </c>
    </row>
    <row r="291" spans="1:9">
      <c r="A291">
        <v>290</v>
      </c>
      <c r="B291">
        <v>2024</v>
      </c>
      <c r="C291" t="s">
        <v>21</v>
      </c>
      <c r="D291" t="s">
        <v>41</v>
      </c>
      <c r="E291">
        <v>21</v>
      </c>
      <c r="F291">
        <v>61</v>
      </c>
      <c r="G291">
        <v>1</v>
      </c>
      <c r="H291">
        <v>2</v>
      </c>
      <c r="I291">
        <v>34.43</v>
      </c>
    </row>
    <row r="292" spans="1:9">
      <c r="A292">
        <v>291</v>
      </c>
      <c r="B292">
        <v>2023</v>
      </c>
      <c r="C292" t="s">
        <v>32</v>
      </c>
      <c r="D292" t="s">
        <v>41</v>
      </c>
      <c r="E292">
        <v>47</v>
      </c>
      <c r="F292">
        <v>18</v>
      </c>
      <c r="G292">
        <v>2</v>
      </c>
      <c r="H292">
        <v>1</v>
      </c>
      <c r="I292">
        <v>261.11</v>
      </c>
    </row>
    <row r="293" spans="1:9">
      <c r="A293">
        <v>292</v>
      </c>
      <c r="B293">
        <v>2021</v>
      </c>
      <c r="C293" t="s">
        <v>56</v>
      </c>
      <c r="D293" t="s">
        <v>66</v>
      </c>
      <c r="E293">
        <v>51</v>
      </c>
      <c r="F293">
        <v>48</v>
      </c>
      <c r="G293">
        <v>9</v>
      </c>
      <c r="H293">
        <v>5</v>
      </c>
      <c r="I293">
        <v>106.25</v>
      </c>
    </row>
    <row r="294" spans="1:9">
      <c r="A294">
        <v>293</v>
      </c>
      <c r="B294">
        <v>2025</v>
      </c>
      <c r="C294" t="s">
        <v>21</v>
      </c>
      <c r="D294" t="s">
        <v>95</v>
      </c>
      <c r="E294">
        <v>127</v>
      </c>
      <c r="F294">
        <v>59</v>
      </c>
      <c r="G294">
        <v>4</v>
      </c>
      <c r="H294">
        <v>4</v>
      </c>
      <c r="I294">
        <v>215.25</v>
      </c>
    </row>
    <row r="295" spans="1:9">
      <c r="A295">
        <v>294</v>
      </c>
      <c r="B295">
        <v>2025</v>
      </c>
      <c r="C295" t="s">
        <v>32</v>
      </c>
      <c r="D295" t="s">
        <v>57</v>
      </c>
      <c r="E295">
        <v>103</v>
      </c>
      <c r="F295">
        <v>65</v>
      </c>
      <c r="G295">
        <v>7</v>
      </c>
      <c r="H295">
        <v>8</v>
      </c>
      <c r="I295">
        <v>158.46</v>
      </c>
    </row>
    <row r="296" spans="1:9">
      <c r="A296">
        <v>295</v>
      </c>
      <c r="B296">
        <v>2025</v>
      </c>
      <c r="C296" t="s">
        <v>15</v>
      </c>
      <c r="D296" t="s">
        <v>29</v>
      </c>
      <c r="E296">
        <v>27</v>
      </c>
      <c r="F296">
        <v>63</v>
      </c>
      <c r="G296">
        <v>1</v>
      </c>
      <c r="H296">
        <v>4</v>
      </c>
      <c r="I296">
        <v>42.86</v>
      </c>
    </row>
    <row r="297" spans="1:9">
      <c r="A297">
        <v>296</v>
      </c>
      <c r="B297">
        <v>2023</v>
      </c>
      <c r="C297" t="s">
        <v>47</v>
      </c>
      <c r="D297" t="s">
        <v>116</v>
      </c>
      <c r="E297">
        <v>80</v>
      </c>
      <c r="F297">
        <v>34</v>
      </c>
      <c r="G297">
        <v>2</v>
      </c>
      <c r="H297">
        <v>0</v>
      </c>
      <c r="I297">
        <v>235.29</v>
      </c>
    </row>
    <row r="298" spans="1:9">
      <c r="A298">
        <v>297</v>
      </c>
      <c r="B298">
        <v>2022</v>
      </c>
      <c r="C298" t="s">
        <v>21</v>
      </c>
      <c r="D298" t="s">
        <v>33</v>
      </c>
      <c r="E298">
        <v>31</v>
      </c>
      <c r="F298">
        <v>13</v>
      </c>
      <c r="G298">
        <v>7</v>
      </c>
      <c r="H298">
        <v>0</v>
      </c>
      <c r="I298">
        <v>238.46</v>
      </c>
    </row>
    <row r="299" spans="1:9">
      <c r="A299">
        <v>298</v>
      </c>
      <c r="B299">
        <v>2022</v>
      </c>
      <c r="C299" t="s">
        <v>27</v>
      </c>
      <c r="D299" t="s">
        <v>41</v>
      </c>
      <c r="E299">
        <v>39</v>
      </c>
      <c r="F299">
        <v>46</v>
      </c>
      <c r="G299">
        <v>4</v>
      </c>
      <c r="H299">
        <v>1</v>
      </c>
      <c r="I299">
        <v>84.78</v>
      </c>
    </row>
    <row r="300" spans="1:9">
      <c r="A300">
        <v>299</v>
      </c>
      <c r="B300">
        <v>2025</v>
      </c>
      <c r="C300" t="s">
        <v>21</v>
      </c>
      <c r="D300" t="s">
        <v>152</v>
      </c>
      <c r="E300">
        <v>119</v>
      </c>
      <c r="F300">
        <v>68</v>
      </c>
      <c r="G300">
        <v>3</v>
      </c>
      <c r="H300">
        <v>4</v>
      </c>
      <c r="I300">
        <v>175</v>
      </c>
    </row>
    <row r="301" spans="1:9">
      <c r="A301">
        <v>300</v>
      </c>
      <c r="B301">
        <v>2023</v>
      </c>
      <c r="C301" t="s">
        <v>47</v>
      </c>
      <c r="D301" t="s">
        <v>116</v>
      </c>
      <c r="E301">
        <v>66</v>
      </c>
      <c r="F301">
        <v>69</v>
      </c>
      <c r="G301">
        <v>8</v>
      </c>
      <c r="H301">
        <v>5</v>
      </c>
      <c r="I301">
        <v>95.65</v>
      </c>
    </row>
    <row r="302" spans="1:9">
      <c r="A302">
        <v>301</v>
      </c>
      <c r="B302">
        <v>2022</v>
      </c>
      <c r="C302" t="s">
        <v>36</v>
      </c>
      <c r="D302" t="s">
        <v>23</v>
      </c>
      <c r="E302">
        <v>1</v>
      </c>
      <c r="F302">
        <v>7</v>
      </c>
      <c r="G302">
        <v>0</v>
      </c>
      <c r="H302">
        <v>0</v>
      </c>
      <c r="I302">
        <v>14.29</v>
      </c>
    </row>
    <row r="303" spans="1:9">
      <c r="A303">
        <v>302</v>
      </c>
      <c r="B303">
        <v>2025</v>
      </c>
      <c r="C303" t="s">
        <v>32</v>
      </c>
      <c r="D303" t="s">
        <v>76</v>
      </c>
      <c r="E303">
        <v>96</v>
      </c>
      <c r="F303">
        <v>45</v>
      </c>
      <c r="G303">
        <v>7</v>
      </c>
      <c r="H303">
        <v>7</v>
      </c>
      <c r="I303">
        <v>213.33</v>
      </c>
    </row>
    <row r="304" spans="1:9">
      <c r="A304">
        <v>303</v>
      </c>
      <c r="B304">
        <v>2021</v>
      </c>
      <c r="C304" t="s">
        <v>14</v>
      </c>
      <c r="D304" t="s">
        <v>33</v>
      </c>
      <c r="E304">
        <v>71</v>
      </c>
      <c r="F304">
        <v>27</v>
      </c>
      <c r="G304">
        <v>10</v>
      </c>
      <c r="H304">
        <v>4</v>
      </c>
      <c r="I304">
        <v>262.95999999999998</v>
      </c>
    </row>
    <row r="305" spans="1:9">
      <c r="A305">
        <v>304</v>
      </c>
      <c r="B305">
        <v>2023</v>
      </c>
      <c r="C305" t="s">
        <v>27</v>
      </c>
      <c r="D305" t="s">
        <v>116</v>
      </c>
      <c r="E305">
        <v>34</v>
      </c>
      <c r="F305">
        <v>60</v>
      </c>
      <c r="G305">
        <v>4</v>
      </c>
      <c r="H305">
        <v>4</v>
      </c>
      <c r="I305">
        <v>56.67</v>
      </c>
    </row>
    <row r="306" spans="1:9">
      <c r="A306">
        <v>305</v>
      </c>
      <c r="B306">
        <v>2022</v>
      </c>
      <c r="C306" t="s">
        <v>47</v>
      </c>
      <c r="D306" t="s">
        <v>17</v>
      </c>
      <c r="E306">
        <v>120</v>
      </c>
      <c r="F306">
        <v>67</v>
      </c>
      <c r="G306">
        <v>7</v>
      </c>
      <c r="H306">
        <v>8</v>
      </c>
      <c r="I306">
        <v>179.1</v>
      </c>
    </row>
    <row r="307" spans="1:9">
      <c r="A307">
        <v>306</v>
      </c>
      <c r="B307">
        <v>2022</v>
      </c>
      <c r="C307" t="s">
        <v>27</v>
      </c>
      <c r="D307" t="s">
        <v>152</v>
      </c>
      <c r="E307">
        <v>25</v>
      </c>
      <c r="F307">
        <v>12</v>
      </c>
      <c r="G307">
        <v>4</v>
      </c>
      <c r="H307">
        <v>2</v>
      </c>
      <c r="I307">
        <v>208.33</v>
      </c>
    </row>
    <row r="308" spans="1:9">
      <c r="A308">
        <v>307</v>
      </c>
      <c r="B308">
        <v>2023</v>
      </c>
      <c r="C308" t="s">
        <v>50</v>
      </c>
      <c r="D308" t="s">
        <v>41</v>
      </c>
      <c r="E308">
        <v>72</v>
      </c>
      <c r="F308">
        <v>50</v>
      </c>
      <c r="G308">
        <v>5</v>
      </c>
      <c r="H308">
        <v>0</v>
      </c>
      <c r="I308">
        <v>144</v>
      </c>
    </row>
    <row r="309" spans="1:9">
      <c r="A309">
        <v>308</v>
      </c>
      <c r="B309">
        <v>2024</v>
      </c>
      <c r="C309" t="s">
        <v>14</v>
      </c>
      <c r="D309" t="s">
        <v>62</v>
      </c>
      <c r="E309">
        <v>4</v>
      </c>
      <c r="F309">
        <v>10</v>
      </c>
      <c r="G309">
        <v>1</v>
      </c>
      <c r="H309">
        <v>0</v>
      </c>
      <c r="I309">
        <v>40</v>
      </c>
    </row>
    <row r="310" spans="1:9">
      <c r="A310">
        <v>309</v>
      </c>
      <c r="B310">
        <v>2021</v>
      </c>
      <c r="C310" t="s">
        <v>50</v>
      </c>
      <c r="D310" t="s">
        <v>87</v>
      </c>
      <c r="E310">
        <v>97</v>
      </c>
      <c r="F310">
        <v>48</v>
      </c>
      <c r="G310">
        <v>1</v>
      </c>
      <c r="H310">
        <v>6</v>
      </c>
      <c r="I310">
        <v>202.08</v>
      </c>
    </row>
    <row r="311" spans="1:9">
      <c r="A311">
        <v>310</v>
      </c>
      <c r="B311">
        <v>2023</v>
      </c>
      <c r="C311" t="s">
        <v>56</v>
      </c>
      <c r="D311" t="s">
        <v>57</v>
      </c>
      <c r="E311">
        <v>89</v>
      </c>
      <c r="F311">
        <v>57</v>
      </c>
      <c r="G311">
        <v>0</v>
      </c>
      <c r="H311">
        <v>3</v>
      </c>
      <c r="I311">
        <v>156.13999999999999</v>
      </c>
    </row>
    <row r="312" spans="1:9">
      <c r="A312">
        <v>311</v>
      </c>
      <c r="B312">
        <v>2022</v>
      </c>
      <c r="C312" t="s">
        <v>22</v>
      </c>
      <c r="D312" t="s">
        <v>95</v>
      </c>
      <c r="E312">
        <v>21</v>
      </c>
      <c r="F312">
        <v>44</v>
      </c>
      <c r="G312">
        <v>5</v>
      </c>
      <c r="H312">
        <v>1</v>
      </c>
      <c r="I312">
        <v>47.73</v>
      </c>
    </row>
    <row r="313" spans="1:9">
      <c r="A313">
        <v>312</v>
      </c>
      <c r="B313">
        <v>2022</v>
      </c>
      <c r="C313" t="s">
        <v>15</v>
      </c>
      <c r="D313" t="s">
        <v>17</v>
      </c>
      <c r="E313">
        <v>43</v>
      </c>
      <c r="F313">
        <v>48</v>
      </c>
      <c r="G313">
        <v>0</v>
      </c>
      <c r="H313">
        <v>7</v>
      </c>
      <c r="I313">
        <v>89.58</v>
      </c>
    </row>
    <row r="314" spans="1:9">
      <c r="A314">
        <v>313</v>
      </c>
      <c r="B314">
        <v>2024</v>
      </c>
      <c r="C314" t="s">
        <v>56</v>
      </c>
      <c r="D314" t="s">
        <v>33</v>
      </c>
      <c r="E314">
        <v>108</v>
      </c>
      <c r="F314">
        <v>63</v>
      </c>
      <c r="G314">
        <v>9</v>
      </c>
      <c r="H314">
        <v>8</v>
      </c>
      <c r="I314">
        <v>171.43</v>
      </c>
    </row>
    <row r="315" spans="1:9">
      <c r="A315">
        <v>314</v>
      </c>
      <c r="B315">
        <v>2024</v>
      </c>
      <c r="C315" t="s">
        <v>32</v>
      </c>
      <c r="D315" t="s">
        <v>44</v>
      </c>
      <c r="E315">
        <v>15</v>
      </c>
      <c r="F315">
        <v>7</v>
      </c>
      <c r="G315">
        <v>3</v>
      </c>
      <c r="H315">
        <v>0</v>
      </c>
      <c r="I315">
        <v>214.29</v>
      </c>
    </row>
    <row r="316" spans="1:9">
      <c r="A316">
        <v>315</v>
      </c>
      <c r="B316">
        <v>2021</v>
      </c>
      <c r="C316" t="s">
        <v>56</v>
      </c>
      <c r="D316" t="s">
        <v>41</v>
      </c>
      <c r="E316">
        <v>82</v>
      </c>
      <c r="F316">
        <v>54</v>
      </c>
      <c r="G316">
        <v>9</v>
      </c>
      <c r="H316">
        <v>1</v>
      </c>
      <c r="I316">
        <v>151.85</v>
      </c>
    </row>
    <row r="317" spans="1:9">
      <c r="A317">
        <v>316</v>
      </c>
      <c r="B317">
        <v>2024</v>
      </c>
      <c r="C317" t="s">
        <v>47</v>
      </c>
      <c r="D317" t="s">
        <v>17</v>
      </c>
      <c r="E317">
        <v>43</v>
      </c>
      <c r="F317">
        <v>31</v>
      </c>
      <c r="G317">
        <v>7</v>
      </c>
      <c r="H317">
        <v>4</v>
      </c>
      <c r="I317">
        <v>138.71</v>
      </c>
    </row>
    <row r="318" spans="1:9">
      <c r="A318">
        <v>317</v>
      </c>
      <c r="B318">
        <v>2023</v>
      </c>
      <c r="C318" t="s">
        <v>56</v>
      </c>
      <c r="D318" t="s">
        <v>39</v>
      </c>
      <c r="E318">
        <v>93</v>
      </c>
      <c r="F318">
        <v>43</v>
      </c>
      <c r="G318">
        <v>6</v>
      </c>
      <c r="H318">
        <v>3</v>
      </c>
      <c r="I318">
        <v>216.28</v>
      </c>
    </row>
    <row r="319" spans="1:9">
      <c r="A319">
        <v>318</v>
      </c>
      <c r="B319">
        <v>2021</v>
      </c>
      <c r="C319" t="s">
        <v>47</v>
      </c>
      <c r="D319" t="s">
        <v>64</v>
      </c>
      <c r="E319">
        <v>36</v>
      </c>
      <c r="F319">
        <v>32</v>
      </c>
      <c r="G319">
        <v>4</v>
      </c>
      <c r="H319">
        <v>0</v>
      </c>
      <c r="I319">
        <v>112.5</v>
      </c>
    </row>
    <row r="320" spans="1:9">
      <c r="A320">
        <v>319</v>
      </c>
      <c r="B320">
        <v>2024</v>
      </c>
      <c r="C320" t="s">
        <v>15</v>
      </c>
      <c r="D320" t="s">
        <v>62</v>
      </c>
      <c r="E320">
        <v>57</v>
      </c>
      <c r="F320">
        <v>56</v>
      </c>
      <c r="G320">
        <v>9</v>
      </c>
      <c r="H320">
        <v>1</v>
      </c>
      <c r="I320">
        <v>101.79</v>
      </c>
    </row>
    <row r="321" spans="1:9">
      <c r="A321">
        <v>320</v>
      </c>
      <c r="B321">
        <v>2023</v>
      </c>
      <c r="C321" t="s">
        <v>50</v>
      </c>
      <c r="D321" t="s">
        <v>17</v>
      </c>
      <c r="E321">
        <v>69</v>
      </c>
      <c r="F321">
        <v>48</v>
      </c>
      <c r="G321">
        <v>1</v>
      </c>
      <c r="H321">
        <v>8</v>
      </c>
      <c r="I321">
        <v>143.75</v>
      </c>
    </row>
    <row r="322" spans="1:9">
      <c r="A322">
        <v>321</v>
      </c>
      <c r="B322">
        <v>2025</v>
      </c>
      <c r="C322" t="s">
        <v>47</v>
      </c>
      <c r="D322" t="s">
        <v>74</v>
      </c>
      <c r="E322">
        <v>44</v>
      </c>
      <c r="F322">
        <v>31</v>
      </c>
      <c r="G322">
        <v>11</v>
      </c>
      <c r="H322">
        <v>1</v>
      </c>
      <c r="I322">
        <v>141.94</v>
      </c>
    </row>
    <row r="323" spans="1:9">
      <c r="A323">
        <v>322</v>
      </c>
      <c r="B323">
        <v>2023</v>
      </c>
      <c r="C323" t="s">
        <v>15</v>
      </c>
      <c r="D323" t="s">
        <v>152</v>
      </c>
      <c r="E323">
        <v>110</v>
      </c>
      <c r="F323">
        <v>43</v>
      </c>
      <c r="G323">
        <v>10</v>
      </c>
      <c r="H323">
        <v>8</v>
      </c>
      <c r="I323">
        <v>255.81</v>
      </c>
    </row>
    <row r="324" spans="1:9">
      <c r="A324">
        <v>323</v>
      </c>
      <c r="B324">
        <v>2025</v>
      </c>
      <c r="C324" t="s">
        <v>56</v>
      </c>
      <c r="D324" t="s">
        <v>66</v>
      </c>
      <c r="E324">
        <v>102</v>
      </c>
      <c r="F324">
        <v>58</v>
      </c>
      <c r="G324">
        <v>4</v>
      </c>
      <c r="H324">
        <v>8</v>
      </c>
      <c r="I324">
        <v>175.86</v>
      </c>
    </row>
    <row r="325" spans="1:9">
      <c r="A325">
        <v>324</v>
      </c>
      <c r="B325">
        <v>2025</v>
      </c>
      <c r="C325" t="s">
        <v>47</v>
      </c>
      <c r="D325" t="s">
        <v>23</v>
      </c>
      <c r="E325">
        <v>2</v>
      </c>
      <c r="F325">
        <v>28</v>
      </c>
      <c r="G325">
        <v>0</v>
      </c>
      <c r="H325">
        <v>0</v>
      </c>
      <c r="I325">
        <v>7.14</v>
      </c>
    </row>
    <row r="326" spans="1:9">
      <c r="A326">
        <v>325</v>
      </c>
      <c r="B326">
        <v>2021</v>
      </c>
      <c r="C326" t="s">
        <v>27</v>
      </c>
      <c r="D326" t="s">
        <v>62</v>
      </c>
      <c r="E326">
        <v>54</v>
      </c>
      <c r="F326">
        <v>68</v>
      </c>
      <c r="G326">
        <v>10</v>
      </c>
      <c r="H326">
        <v>5</v>
      </c>
      <c r="I326">
        <v>79.41</v>
      </c>
    </row>
    <row r="327" spans="1:9">
      <c r="A327">
        <v>326</v>
      </c>
      <c r="B327">
        <v>2023</v>
      </c>
      <c r="C327" t="s">
        <v>15</v>
      </c>
      <c r="D327" t="s">
        <v>23</v>
      </c>
      <c r="E327">
        <v>15</v>
      </c>
      <c r="F327">
        <v>60</v>
      </c>
      <c r="G327">
        <v>3</v>
      </c>
      <c r="H327">
        <v>1</v>
      </c>
      <c r="I327">
        <v>25</v>
      </c>
    </row>
    <row r="328" spans="1:9">
      <c r="A328">
        <v>327</v>
      </c>
      <c r="B328">
        <v>2021</v>
      </c>
      <c r="C328" t="s">
        <v>56</v>
      </c>
      <c r="D328" t="s">
        <v>76</v>
      </c>
      <c r="E328">
        <v>30</v>
      </c>
      <c r="F328">
        <v>23</v>
      </c>
      <c r="G328">
        <v>2</v>
      </c>
      <c r="H328">
        <v>4</v>
      </c>
      <c r="I328">
        <v>130.43</v>
      </c>
    </row>
    <row r="329" spans="1:9">
      <c r="A329">
        <v>328</v>
      </c>
      <c r="B329">
        <v>2024</v>
      </c>
      <c r="C329" t="s">
        <v>32</v>
      </c>
      <c r="D329" t="s">
        <v>74</v>
      </c>
      <c r="E329">
        <v>16</v>
      </c>
      <c r="F329">
        <v>45</v>
      </c>
      <c r="G329">
        <v>4</v>
      </c>
      <c r="H329">
        <v>1</v>
      </c>
      <c r="I329">
        <v>35.56</v>
      </c>
    </row>
    <row r="330" spans="1:9">
      <c r="A330">
        <v>329</v>
      </c>
      <c r="B330">
        <v>2025</v>
      </c>
      <c r="C330" t="s">
        <v>32</v>
      </c>
      <c r="D330" t="s">
        <v>44</v>
      </c>
      <c r="E330">
        <v>82</v>
      </c>
      <c r="F330">
        <v>41</v>
      </c>
      <c r="G330">
        <v>2</v>
      </c>
      <c r="H330">
        <v>4</v>
      </c>
      <c r="I330">
        <v>200</v>
      </c>
    </row>
    <row r="331" spans="1:9">
      <c r="A331">
        <v>330</v>
      </c>
      <c r="B331">
        <v>2021</v>
      </c>
      <c r="C331" t="s">
        <v>50</v>
      </c>
      <c r="D331" t="s">
        <v>95</v>
      </c>
      <c r="E331">
        <v>61</v>
      </c>
      <c r="F331">
        <v>56</v>
      </c>
      <c r="G331">
        <v>1</v>
      </c>
      <c r="H331">
        <v>2</v>
      </c>
      <c r="I331">
        <v>108.93</v>
      </c>
    </row>
    <row r="332" spans="1:9">
      <c r="A332">
        <v>331</v>
      </c>
      <c r="B332">
        <v>2024</v>
      </c>
      <c r="C332" t="s">
        <v>22</v>
      </c>
      <c r="D332" t="s">
        <v>87</v>
      </c>
      <c r="E332">
        <v>102</v>
      </c>
      <c r="F332">
        <v>36</v>
      </c>
      <c r="G332">
        <v>4</v>
      </c>
      <c r="H332">
        <v>7</v>
      </c>
      <c r="I332">
        <v>283.33</v>
      </c>
    </row>
    <row r="333" spans="1:9">
      <c r="A333">
        <v>332</v>
      </c>
      <c r="B333">
        <v>2022</v>
      </c>
      <c r="C333" t="s">
        <v>47</v>
      </c>
      <c r="D333" t="s">
        <v>23</v>
      </c>
      <c r="E333">
        <v>108</v>
      </c>
      <c r="F333">
        <v>60</v>
      </c>
      <c r="G333">
        <v>10</v>
      </c>
      <c r="H333">
        <v>0</v>
      </c>
      <c r="I333">
        <v>180</v>
      </c>
    </row>
    <row r="334" spans="1:9">
      <c r="A334">
        <v>333</v>
      </c>
      <c r="B334">
        <v>2024</v>
      </c>
      <c r="C334" t="s">
        <v>22</v>
      </c>
      <c r="D334" t="s">
        <v>39</v>
      </c>
      <c r="E334">
        <v>17</v>
      </c>
      <c r="F334">
        <v>39</v>
      </c>
      <c r="G334">
        <v>0</v>
      </c>
      <c r="H334">
        <v>2</v>
      </c>
      <c r="I334">
        <v>43.59</v>
      </c>
    </row>
    <row r="335" spans="1:9">
      <c r="A335">
        <v>334</v>
      </c>
      <c r="B335">
        <v>2024</v>
      </c>
      <c r="C335" t="s">
        <v>15</v>
      </c>
      <c r="D335" t="s">
        <v>23</v>
      </c>
      <c r="E335">
        <v>5</v>
      </c>
      <c r="F335">
        <v>27</v>
      </c>
      <c r="G335">
        <v>1</v>
      </c>
      <c r="H335">
        <v>0</v>
      </c>
      <c r="I335">
        <v>18.52</v>
      </c>
    </row>
    <row r="336" spans="1:9">
      <c r="A336">
        <v>335</v>
      </c>
      <c r="B336">
        <v>2023</v>
      </c>
      <c r="C336" t="s">
        <v>14</v>
      </c>
      <c r="D336" t="s">
        <v>33</v>
      </c>
      <c r="E336">
        <v>20</v>
      </c>
      <c r="F336">
        <v>15</v>
      </c>
      <c r="G336">
        <v>5</v>
      </c>
      <c r="H336">
        <v>1</v>
      </c>
      <c r="I336">
        <v>133.33000000000001</v>
      </c>
    </row>
    <row r="337" spans="1:9">
      <c r="A337">
        <v>336</v>
      </c>
      <c r="B337">
        <v>2024</v>
      </c>
      <c r="C337" t="s">
        <v>21</v>
      </c>
      <c r="D337" t="s">
        <v>74</v>
      </c>
      <c r="E337">
        <v>23</v>
      </c>
      <c r="F337">
        <v>51</v>
      </c>
      <c r="G337">
        <v>5</v>
      </c>
      <c r="H337">
        <v>2</v>
      </c>
      <c r="I337">
        <v>45.1</v>
      </c>
    </row>
    <row r="338" spans="1:9">
      <c r="A338">
        <v>337</v>
      </c>
      <c r="B338">
        <v>2021</v>
      </c>
      <c r="C338" t="s">
        <v>22</v>
      </c>
      <c r="D338" t="s">
        <v>17</v>
      </c>
      <c r="E338">
        <v>30</v>
      </c>
      <c r="F338">
        <v>69</v>
      </c>
      <c r="G338">
        <v>7</v>
      </c>
      <c r="H338">
        <v>2</v>
      </c>
      <c r="I338">
        <v>43.48</v>
      </c>
    </row>
    <row r="339" spans="1:9">
      <c r="A339">
        <v>338</v>
      </c>
      <c r="B339">
        <v>2022</v>
      </c>
      <c r="C339" t="s">
        <v>15</v>
      </c>
      <c r="D339" t="s">
        <v>116</v>
      </c>
      <c r="E339">
        <v>15</v>
      </c>
      <c r="F339">
        <v>16</v>
      </c>
      <c r="G339">
        <v>3</v>
      </c>
      <c r="H339">
        <v>1</v>
      </c>
      <c r="I339">
        <v>93.75</v>
      </c>
    </row>
    <row r="340" spans="1:9">
      <c r="A340">
        <v>339</v>
      </c>
      <c r="B340">
        <v>2024</v>
      </c>
      <c r="C340" t="s">
        <v>56</v>
      </c>
      <c r="D340" t="s">
        <v>81</v>
      </c>
      <c r="E340">
        <v>60</v>
      </c>
      <c r="F340">
        <v>54</v>
      </c>
      <c r="G340">
        <v>6</v>
      </c>
      <c r="H340">
        <v>3</v>
      </c>
      <c r="I340">
        <v>111.11</v>
      </c>
    </row>
    <row r="341" spans="1:9">
      <c r="A341">
        <v>340</v>
      </c>
      <c r="B341">
        <v>2024</v>
      </c>
      <c r="C341" t="s">
        <v>27</v>
      </c>
      <c r="D341" t="s">
        <v>17</v>
      </c>
      <c r="E341">
        <v>27</v>
      </c>
      <c r="F341">
        <v>27</v>
      </c>
      <c r="G341">
        <v>4</v>
      </c>
      <c r="H341">
        <v>3</v>
      </c>
      <c r="I341">
        <v>100</v>
      </c>
    </row>
    <row r="342" spans="1:9">
      <c r="A342">
        <v>341</v>
      </c>
      <c r="B342">
        <v>2021</v>
      </c>
      <c r="C342" t="s">
        <v>32</v>
      </c>
      <c r="D342" t="s">
        <v>44</v>
      </c>
      <c r="E342">
        <v>31</v>
      </c>
      <c r="F342">
        <v>12</v>
      </c>
      <c r="G342">
        <v>7</v>
      </c>
      <c r="H342">
        <v>2</v>
      </c>
      <c r="I342">
        <v>258.33</v>
      </c>
    </row>
    <row r="343" spans="1:9">
      <c r="A343">
        <v>342</v>
      </c>
      <c r="B343">
        <v>2021</v>
      </c>
      <c r="C343" t="s">
        <v>21</v>
      </c>
      <c r="D343" t="s">
        <v>81</v>
      </c>
      <c r="E343">
        <v>121</v>
      </c>
      <c r="F343">
        <v>59</v>
      </c>
      <c r="G343">
        <v>10</v>
      </c>
      <c r="H343">
        <v>3</v>
      </c>
      <c r="I343">
        <v>205.08</v>
      </c>
    </row>
    <row r="344" spans="1:9">
      <c r="A344">
        <v>343</v>
      </c>
      <c r="B344">
        <v>2023</v>
      </c>
      <c r="C344" t="s">
        <v>15</v>
      </c>
      <c r="D344" t="s">
        <v>29</v>
      </c>
      <c r="E344">
        <v>121</v>
      </c>
      <c r="F344">
        <v>51</v>
      </c>
      <c r="G344">
        <v>11</v>
      </c>
      <c r="H344">
        <v>5</v>
      </c>
      <c r="I344">
        <v>237.25</v>
      </c>
    </row>
    <row r="345" spans="1:9">
      <c r="A345">
        <v>344</v>
      </c>
      <c r="B345">
        <v>2025</v>
      </c>
      <c r="C345" t="s">
        <v>15</v>
      </c>
      <c r="D345" t="s">
        <v>87</v>
      </c>
      <c r="E345">
        <v>26</v>
      </c>
      <c r="F345">
        <v>9</v>
      </c>
      <c r="G345">
        <v>6</v>
      </c>
      <c r="H345">
        <v>0</v>
      </c>
      <c r="I345">
        <v>288.89</v>
      </c>
    </row>
    <row r="346" spans="1:9">
      <c r="A346">
        <v>345</v>
      </c>
      <c r="B346">
        <v>2023</v>
      </c>
      <c r="C346" t="s">
        <v>22</v>
      </c>
      <c r="D346" t="s">
        <v>44</v>
      </c>
      <c r="E346">
        <v>79</v>
      </c>
      <c r="F346">
        <v>54</v>
      </c>
      <c r="G346">
        <v>10</v>
      </c>
      <c r="H346">
        <v>5</v>
      </c>
      <c r="I346">
        <v>146.30000000000001</v>
      </c>
    </row>
    <row r="347" spans="1:9">
      <c r="A347">
        <v>346</v>
      </c>
      <c r="B347">
        <v>2025</v>
      </c>
      <c r="C347" t="s">
        <v>21</v>
      </c>
      <c r="D347" t="s">
        <v>23</v>
      </c>
      <c r="E347">
        <v>56</v>
      </c>
      <c r="F347">
        <v>35</v>
      </c>
      <c r="G347">
        <v>6</v>
      </c>
      <c r="H347">
        <v>0</v>
      </c>
      <c r="I347">
        <v>160</v>
      </c>
    </row>
    <row r="348" spans="1:9">
      <c r="A348">
        <v>347</v>
      </c>
      <c r="B348">
        <v>2021</v>
      </c>
      <c r="C348" t="s">
        <v>32</v>
      </c>
      <c r="D348" t="s">
        <v>44</v>
      </c>
      <c r="E348">
        <v>23</v>
      </c>
      <c r="F348">
        <v>43</v>
      </c>
      <c r="G348">
        <v>5</v>
      </c>
      <c r="H348">
        <v>2</v>
      </c>
      <c r="I348">
        <v>53.49</v>
      </c>
    </row>
    <row r="349" spans="1:9">
      <c r="A349">
        <v>348</v>
      </c>
      <c r="B349">
        <v>2023</v>
      </c>
      <c r="C349" t="s">
        <v>15</v>
      </c>
      <c r="D349" t="s">
        <v>66</v>
      </c>
      <c r="E349">
        <v>56</v>
      </c>
      <c r="F349">
        <v>25</v>
      </c>
      <c r="G349">
        <v>10</v>
      </c>
      <c r="H349">
        <v>5</v>
      </c>
      <c r="I349">
        <v>224</v>
      </c>
    </row>
    <row r="350" spans="1:9">
      <c r="A350">
        <v>349</v>
      </c>
      <c r="B350">
        <v>2023</v>
      </c>
      <c r="C350" t="s">
        <v>32</v>
      </c>
      <c r="D350" t="s">
        <v>33</v>
      </c>
      <c r="E350">
        <v>110</v>
      </c>
      <c r="F350">
        <v>40</v>
      </c>
      <c r="G350">
        <v>1</v>
      </c>
      <c r="H350">
        <v>7</v>
      </c>
      <c r="I350">
        <v>275</v>
      </c>
    </row>
    <row r="351" spans="1:9">
      <c r="A351">
        <v>350</v>
      </c>
      <c r="B351">
        <v>2025</v>
      </c>
      <c r="C351" t="s">
        <v>47</v>
      </c>
      <c r="D351" t="s">
        <v>74</v>
      </c>
      <c r="E351">
        <v>108</v>
      </c>
      <c r="F351">
        <v>47</v>
      </c>
      <c r="G351">
        <v>1</v>
      </c>
      <c r="H351">
        <v>2</v>
      </c>
      <c r="I351">
        <v>229.79</v>
      </c>
    </row>
    <row r="352" spans="1:9">
      <c r="A352">
        <v>351</v>
      </c>
      <c r="B352">
        <v>2022</v>
      </c>
      <c r="C352" t="s">
        <v>15</v>
      </c>
      <c r="D352" t="s">
        <v>152</v>
      </c>
      <c r="E352">
        <v>22</v>
      </c>
      <c r="F352">
        <v>13</v>
      </c>
      <c r="G352">
        <v>5</v>
      </c>
      <c r="H352">
        <v>2</v>
      </c>
      <c r="I352">
        <v>169.23</v>
      </c>
    </row>
    <row r="353" spans="1:9">
      <c r="A353">
        <v>352</v>
      </c>
      <c r="B353">
        <v>2023</v>
      </c>
      <c r="C353" t="s">
        <v>56</v>
      </c>
      <c r="D353" t="s">
        <v>76</v>
      </c>
      <c r="E353">
        <v>24</v>
      </c>
      <c r="F353">
        <v>8</v>
      </c>
      <c r="G353">
        <v>0</v>
      </c>
      <c r="H353">
        <v>2</v>
      </c>
      <c r="I353">
        <v>300</v>
      </c>
    </row>
    <row r="354" spans="1:9">
      <c r="A354">
        <v>353</v>
      </c>
      <c r="B354">
        <v>2022</v>
      </c>
      <c r="C354" t="s">
        <v>47</v>
      </c>
      <c r="D354" t="s">
        <v>29</v>
      </c>
      <c r="E354">
        <v>12</v>
      </c>
      <c r="F354">
        <v>5</v>
      </c>
      <c r="G354">
        <v>3</v>
      </c>
      <c r="H354">
        <v>1</v>
      </c>
      <c r="I354">
        <v>240</v>
      </c>
    </row>
    <row r="355" spans="1:9">
      <c r="A355">
        <v>354</v>
      </c>
      <c r="B355">
        <v>2021</v>
      </c>
      <c r="C355" t="s">
        <v>56</v>
      </c>
      <c r="D355" t="s">
        <v>62</v>
      </c>
      <c r="E355">
        <v>7</v>
      </c>
      <c r="F355">
        <v>15</v>
      </c>
      <c r="G355">
        <v>1</v>
      </c>
      <c r="H355">
        <v>0</v>
      </c>
      <c r="I355">
        <v>46.67</v>
      </c>
    </row>
    <row r="356" spans="1:9">
      <c r="A356">
        <v>355</v>
      </c>
      <c r="B356">
        <v>2022</v>
      </c>
      <c r="C356" t="s">
        <v>36</v>
      </c>
      <c r="D356" t="s">
        <v>29</v>
      </c>
      <c r="E356">
        <v>81</v>
      </c>
      <c r="F356">
        <v>57</v>
      </c>
      <c r="G356">
        <v>7</v>
      </c>
      <c r="H356">
        <v>7</v>
      </c>
      <c r="I356">
        <v>142.11000000000001</v>
      </c>
    </row>
    <row r="357" spans="1:9">
      <c r="A357">
        <v>356</v>
      </c>
      <c r="B357">
        <v>2021</v>
      </c>
      <c r="C357" t="s">
        <v>27</v>
      </c>
      <c r="D357" t="s">
        <v>44</v>
      </c>
      <c r="E357">
        <v>75</v>
      </c>
      <c r="F357">
        <v>27</v>
      </c>
      <c r="G357">
        <v>5</v>
      </c>
      <c r="H357">
        <v>4</v>
      </c>
      <c r="I357">
        <v>277.77999999999997</v>
      </c>
    </row>
    <row r="358" spans="1:9">
      <c r="A358">
        <v>357</v>
      </c>
      <c r="B358">
        <v>2022</v>
      </c>
      <c r="C358" t="s">
        <v>22</v>
      </c>
      <c r="D358" t="s">
        <v>64</v>
      </c>
      <c r="E358">
        <v>94</v>
      </c>
      <c r="F358">
        <v>58</v>
      </c>
      <c r="G358">
        <v>2</v>
      </c>
      <c r="H358">
        <v>6</v>
      </c>
      <c r="I358">
        <v>162.07</v>
      </c>
    </row>
    <row r="359" spans="1:9">
      <c r="A359">
        <v>358</v>
      </c>
      <c r="B359">
        <v>2025</v>
      </c>
      <c r="C359" t="s">
        <v>32</v>
      </c>
      <c r="D359" t="s">
        <v>62</v>
      </c>
      <c r="E359">
        <v>2</v>
      </c>
      <c r="F359">
        <v>33</v>
      </c>
      <c r="G359">
        <v>0</v>
      </c>
      <c r="H359">
        <v>0</v>
      </c>
      <c r="I359">
        <v>6.06</v>
      </c>
    </row>
    <row r="360" spans="1:9">
      <c r="A360">
        <v>359</v>
      </c>
      <c r="B360">
        <v>2021</v>
      </c>
      <c r="C360" t="s">
        <v>50</v>
      </c>
      <c r="D360" t="s">
        <v>95</v>
      </c>
      <c r="E360">
        <v>29</v>
      </c>
      <c r="F360">
        <v>16</v>
      </c>
      <c r="G360">
        <v>3</v>
      </c>
      <c r="H360">
        <v>3</v>
      </c>
      <c r="I360">
        <v>181.25</v>
      </c>
    </row>
    <row r="361" spans="1:9">
      <c r="A361">
        <v>360</v>
      </c>
      <c r="B361">
        <v>2022</v>
      </c>
      <c r="C361" t="s">
        <v>27</v>
      </c>
      <c r="D361" t="s">
        <v>33</v>
      </c>
      <c r="E361">
        <v>109</v>
      </c>
      <c r="F361">
        <v>56</v>
      </c>
      <c r="G361">
        <v>9</v>
      </c>
      <c r="H361">
        <v>4</v>
      </c>
      <c r="I361">
        <v>194.64</v>
      </c>
    </row>
    <row r="362" spans="1:9">
      <c r="A362">
        <v>361</v>
      </c>
      <c r="B362">
        <v>2022</v>
      </c>
      <c r="C362" t="s">
        <v>27</v>
      </c>
      <c r="D362" t="s">
        <v>64</v>
      </c>
      <c r="E362">
        <v>43</v>
      </c>
      <c r="F362">
        <v>52</v>
      </c>
      <c r="G362">
        <v>9</v>
      </c>
      <c r="H362">
        <v>1</v>
      </c>
      <c r="I362">
        <v>82.69</v>
      </c>
    </row>
    <row r="363" spans="1:9">
      <c r="A363">
        <v>362</v>
      </c>
      <c r="B363">
        <v>2023</v>
      </c>
      <c r="C363" t="s">
        <v>14</v>
      </c>
      <c r="D363" t="s">
        <v>152</v>
      </c>
      <c r="E363">
        <v>116</v>
      </c>
      <c r="F363">
        <v>60</v>
      </c>
      <c r="G363">
        <v>10</v>
      </c>
      <c r="H363">
        <v>7</v>
      </c>
      <c r="I363">
        <v>193.33</v>
      </c>
    </row>
    <row r="364" spans="1:9">
      <c r="A364">
        <v>363</v>
      </c>
      <c r="B364">
        <v>2024</v>
      </c>
      <c r="C364" t="s">
        <v>21</v>
      </c>
      <c r="D364" t="s">
        <v>95</v>
      </c>
      <c r="E364">
        <v>24</v>
      </c>
      <c r="F364">
        <v>31</v>
      </c>
      <c r="G364">
        <v>6</v>
      </c>
      <c r="H364">
        <v>2</v>
      </c>
      <c r="I364">
        <v>77.42</v>
      </c>
    </row>
    <row r="365" spans="1:9">
      <c r="A365">
        <v>364</v>
      </c>
      <c r="B365">
        <v>2025</v>
      </c>
      <c r="C365" t="s">
        <v>15</v>
      </c>
      <c r="D365" t="s">
        <v>116</v>
      </c>
      <c r="E365">
        <v>33</v>
      </c>
      <c r="F365">
        <v>53</v>
      </c>
      <c r="G365">
        <v>6</v>
      </c>
      <c r="H365">
        <v>3</v>
      </c>
      <c r="I365">
        <v>62.26</v>
      </c>
    </row>
    <row r="366" spans="1:9">
      <c r="A366">
        <v>365</v>
      </c>
      <c r="B366">
        <v>2022</v>
      </c>
      <c r="C366" t="s">
        <v>50</v>
      </c>
      <c r="D366" t="s">
        <v>66</v>
      </c>
      <c r="E366">
        <v>93</v>
      </c>
      <c r="F366">
        <v>41</v>
      </c>
      <c r="G366">
        <v>10</v>
      </c>
      <c r="H366">
        <v>3</v>
      </c>
      <c r="I366">
        <v>226.83</v>
      </c>
    </row>
    <row r="367" spans="1:9">
      <c r="A367">
        <v>366</v>
      </c>
      <c r="B367">
        <v>2022</v>
      </c>
      <c r="C367" t="s">
        <v>32</v>
      </c>
      <c r="D367" t="s">
        <v>39</v>
      </c>
      <c r="E367">
        <v>37</v>
      </c>
      <c r="F367">
        <v>57</v>
      </c>
      <c r="G367">
        <v>0</v>
      </c>
      <c r="H367">
        <v>4</v>
      </c>
      <c r="I367">
        <v>64.91</v>
      </c>
    </row>
    <row r="368" spans="1:9">
      <c r="A368">
        <v>367</v>
      </c>
      <c r="B368">
        <v>2024</v>
      </c>
      <c r="C368" t="s">
        <v>15</v>
      </c>
      <c r="D368" t="s">
        <v>95</v>
      </c>
      <c r="E368">
        <v>63</v>
      </c>
      <c r="F368">
        <v>62</v>
      </c>
      <c r="G368">
        <v>5</v>
      </c>
      <c r="H368">
        <v>7</v>
      </c>
      <c r="I368">
        <v>101.61</v>
      </c>
    </row>
    <row r="369" spans="1:9">
      <c r="A369">
        <v>368</v>
      </c>
      <c r="B369">
        <v>2021</v>
      </c>
      <c r="C369" t="s">
        <v>21</v>
      </c>
      <c r="D369" t="s">
        <v>87</v>
      </c>
      <c r="E369">
        <v>34</v>
      </c>
      <c r="F369">
        <v>65</v>
      </c>
      <c r="G369">
        <v>5</v>
      </c>
      <c r="H369">
        <v>4</v>
      </c>
      <c r="I369">
        <v>52.31</v>
      </c>
    </row>
    <row r="370" spans="1:9">
      <c r="A370">
        <v>369</v>
      </c>
      <c r="B370">
        <v>2022</v>
      </c>
      <c r="C370" t="s">
        <v>22</v>
      </c>
      <c r="D370" t="s">
        <v>41</v>
      </c>
      <c r="E370">
        <v>65</v>
      </c>
      <c r="F370">
        <v>59</v>
      </c>
      <c r="G370">
        <v>1</v>
      </c>
      <c r="H370">
        <v>1</v>
      </c>
      <c r="I370">
        <v>110.17</v>
      </c>
    </row>
    <row r="371" spans="1:9">
      <c r="A371">
        <v>370</v>
      </c>
      <c r="B371">
        <v>2025</v>
      </c>
      <c r="C371" t="s">
        <v>36</v>
      </c>
      <c r="D371" t="s">
        <v>33</v>
      </c>
      <c r="E371">
        <v>21</v>
      </c>
      <c r="F371">
        <v>11</v>
      </c>
      <c r="G371">
        <v>3</v>
      </c>
      <c r="H371">
        <v>2</v>
      </c>
      <c r="I371">
        <v>190.91</v>
      </c>
    </row>
    <row r="372" spans="1:9">
      <c r="A372">
        <v>371</v>
      </c>
      <c r="B372">
        <v>2025</v>
      </c>
      <c r="C372" t="s">
        <v>56</v>
      </c>
      <c r="D372" t="s">
        <v>90</v>
      </c>
      <c r="E372">
        <v>0</v>
      </c>
      <c r="F372">
        <v>10</v>
      </c>
      <c r="G372">
        <v>0</v>
      </c>
      <c r="H372">
        <v>0</v>
      </c>
      <c r="I372">
        <v>0</v>
      </c>
    </row>
    <row r="373" spans="1:9">
      <c r="A373">
        <v>372</v>
      </c>
      <c r="B373">
        <v>2022</v>
      </c>
      <c r="C373" t="s">
        <v>50</v>
      </c>
      <c r="D373" t="s">
        <v>41</v>
      </c>
      <c r="E373">
        <v>101</v>
      </c>
      <c r="F373">
        <v>43</v>
      </c>
      <c r="G373">
        <v>10</v>
      </c>
      <c r="H373">
        <v>5</v>
      </c>
      <c r="I373">
        <v>234.88</v>
      </c>
    </row>
    <row r="374" spans="1:9">
      <c r="A374">
        <v>373</v>
      </c>
      <c r="B374">
        <v>2025</v>
      </c>
      <c r="C374" t="s">
        <v>27</v>
      </c>
      <c r="D374" t="s">
        <v>23</v>
      </c>
      <c r="E374">
        <v>18</v>
      </c>
      <c r="F374">
        <v>10</v>
      </c>
      <c r="G374">
        <v>2</v>
      </c>
      <c r="H374">
        <v>2</v>
      </c>
      <c r="I374">
        <v>180</v>
      </c>
    </row>
    <row r="375" spans="1:9">
      <c r="A375">
        <v>374</v>
      </c>
      <c r="B375">
        <v>2024</v>
      </c>
      <c r="C375" t="s">
        <v>27</v>
      </c>
      <c r="D375" t="s">
        <v>152</v>
      </c>
      <c r="E375">
        <v>86</v>
      </c>
      <c r="F375">
        <v>68</v>
      </c>
      <c r="G375">
        <v>7</v>
      </c>
      <c r="H375">
        <v>2</v>
      </c>
      <c r="I375">
        <v>126.47</v>
      </c>
    </row>
    <row r="376" spans="1:9">
      <c r="A376">
        <v>375</v>
      </c>
      <c r="B376">
        <v>2023</v>
      </c>
      <c r="C376" t="s">
        <v>21</v>
      </c>
      <c r="D376" t="s">
        <v>81</v>
      </c>
      <c r="E376">
        <v>36</v>
      </c>
      <c r="F376">
        <v>60</v>
      </c>
      <c r="G376">
        <v>4</v>
      </c>
      <c r="H376">
        <v>1</v>
      </c>
      <c r="I376">
        <v>60</v>
      </c>
    </row>
    <row r="377" spans="1:9">
      <c r="A377">
        <v>376</v>
      </c>
      <c r="B377">
        <v>2022</v>
      </c>
      <c r="C377" t="s">
        <v>56</v>
      </c>
      <c r="D377" t="s">
        <v>33</v>
      </c>
      <c r="E377">
        <v>63</v>
      </c>
      <c r="F377">
        <v>21</v>
      </c>
      <c r="G377">
        <v>4</v>
      </c>
      <c r="H377">
        <v>5</v>
      </c>
      <c r="I377">
        <v>300</v>
      </c>
    </row>
    <row r="378" spans="1:9">
      <c r="A378">
        <v>377</v>
      </c>
      <c r="B378">
        <v>2022</v>
      </c>
      <c r="C378" t="s">
        <v>32</v>
      </c>
      <c r="D378" t="s">
        <v>53</v>
      </c>
      <c r="E378">
        <v>78</v>
      </c>
      <c r="F378">
        <v>38</v>
      </c>
      <c r="G378">
        <v>12</v>
      </c>
      <c r="H378">
        <v>4</v>
      </c>
      <c r="I378">
        <v>205.26</v>
      </c>
    </row>
    <row r="379" spans="1:9">
      <c r="A379">
        <v>378</v>
      </c>
      <c r="B379">
        <v>2022</v>
      </c>
      <c r="C379" t="s">
        <v>36</v>
      </c>
      <c r="D379" t="s">
        <v>81</v>
      </c>
      <c r="E379">
        <v>42</v>
      </c>
      <c r="F379">
        <v>60</v>
      </c>
      <c r="G379">
        <v>5</v>
      </c>
      <c r="H379">
        <v>5</v>
      </c>
      <c r="I379">
        <v>70</v>
      </c>
    </row>
    <row r="380" spans="1:9">
      <c r="A380">
        <v>379</v>
      </c>
      <c r="B380">
        <v>2024</v>
      </c>
      <c r="C380" t="s">
        <v>27</v>
      </c>
      <c r="D380" t="s">
        <v>23</v>
      </c>
      <c r="E380">
        <v>13</v>
      </c>
      <c r="F380">
        <v>61</v>
      </c>
      <c r="G380">
        <v>3</v>
      </c>
      <c r="H380">
        <v>1</v>
      </c>
      <c r="I380">
        <v>21.31</v>
      </c>
    </row>
    <row r="381" spans="1:9">
      <c r="A381">
        <v>380</v>
      </c>
      <c r="B381">
        <v>2022</v>
      </c>
      <c r="C381" t="s">
        <v>14</v>
      </c>
      <c r="D381" t="s">
        <v>95</v>
      </c>
      <c r="E381">
        <v>4</v>
      </c>
      <c r="F381">
        <v>28</v>
      </c>
      <c r="G381">
        <v>1</v>
      </c>
      <c r="H381">
        <v>0</v>
      </c>
      <c r="I381">
        <v>14.29</v>
      </c>
    </row>
    <row r="382" spans="1:9">
      <c r="A382">
        <v>381</v>
      </c>
      <c r="B382">
        <v>2023</v>
      </c>
      <c r="C382" t="s">
        <v>27</v>
      </c>
      <c r="D382" t="s">
        <v>76</v>
      </c>
      <c r="E382">
        <v>29</v>
      </c>
      <c r="F382">
        <v>60</v>
      </c>
      <c r="G382">
        <v>7</v>
      </c>
      <c r="H382">
        <v>0</v>
      </c>
      <c r="I382">
        <v>48.33</v>
      </c>
    </row>
    <row r="383" spans="1:9">
      <c r="A383">
        <v>382</v>
      </c>
      <c r="B383">
        <v>2022</v>
      </c>
      <c r="C383" t="s">
        <v>47</v>
      </c>
      <c r="D383" t="s">
        <v>57</v>
      </c>
      <c r="E383">
        <v>117</v>
      </c>
      <c r="F383">
        <v>67</v>
      </c>
      <c r="G383">
        <v>7</v>
      </c>
      <c r="H383">
        <v>1</v>
      </c>
      <c r="I383">
        <v>174.63</v>
      </c>
    </row>
    <row r="384" spans="1:9">
      <c r="A384">
        <v>383</v>
      </c>
      <c r="B384">
        <v>2024</v>
      </c>
      <c r="C384" t="s">
        <v>27</v>
      </c>
      <c r="D384" t="s">
        <v>17</v>
      </c>
      <c r="E384">
        <v>23</v>
      </c>
      <c r="F384">
        <v>49</v>
      </c>
      <c r="G384">
        <v>3</v>
      </c>
      <c r="H384">
        <v>2</v>
      </c>
      <c r="I384">
        <v>46.94</v>
      </c>
    </row>
    <row r="385" spans="1:9">
      <c r="A385">
        <v>384</v>
      </c>
      <c r="B385">
        <v>2021</v>
      </c>
      <c r="C385" t="s">
        <v>27</v>
      </c>
      <c r="D385" t="s">
        <v>39</v>
      </c>
      <c r="E385">
        <v>69</v>
      </c>
      <c r="F385">
        <v>70</v>
      </c>
      <c r="G385">
        <v>9</v>
      </c>
      <c r="H385">
        <v>3</v>
      </c>
      <c r="I385">
        <v>98.57</v>
      </c>
    </row>
    <row r="386" spans="1:9">
      <c r="A386">
        <v>385</v>
      </c>
      <c r="B386">
        <v>2023</v>
      </c>
      <c r="C386" t="s">
        <v>50</v>
      </c>
      <c r="D386" t="s">
        <v>87</v>
      </c>
      <c r="E386">
        <v>53</v>
      </c>
      <c r="F386">
        <v>28</v>
      </c>
      <c r="G386">
        <v>1</v>
      </c>
      <c r="H386">
        <v>3</v>
      </c>
      <c r="I386">
        <v>189.29</v>
      </c>
    </row>
    <row r="387" spans="1:9">
      <c r="A387">
        <v>386</v>
      </c>
      <c r="B387">
        <v>2022</v>
      </c>
      <c r="C387" t="s">
        <v>47</v>
      </c>
      <c r="D387" t="s">
        <v>17</v>
      </c>
      <c r="E387">
        <v>6</v>
      </c>
      <c r="F387">
        <v>47</v>
      </c>
      <c r="G387">
        <v>1</v>
      </c>
      <c r="H387">
        <v>0</v>
      </c>
      <c r="I387">
        <v>12.77</v>
      </c>
    </row>
    <row r="388" spans="1:9">
      <c r="A388">
        <v>387</v>
      </c>
      <c r="B388">
        <v>2023</v>
      </c>
      <c r="C388" t="s">
        <v>32</v>
      </c>
      <c r="D388" t="s">
        <v>57</v>
      </c>
      <c r="E388">
        <v>53</v>
      </c>
      <c r="F388">
        <v>18</v>
      </c>
      <c r="G388">
        <v>5</v>
      </c>
      <c r="H388">
        <v>2</v>
      </c>
      <c r="I388">
        <v>294.44</v>
      </c>
    </row>
    <row r="389" spans="1:9">
      <c r="A389">
        <v>388</v>
      </c>
      <c r="B389">
        <v>2021</v>
      </c>
      <c r="C389" t="s">
        <v>14</v>
      </c>
      <c r="D389" t="s">
        <v>64</v>
      </c>
      <c r="E389">
        <v>122</v>
      </c>
      <c r="F389">
        <v>63</v>
      </c>
      <c r="G389">
        <v>7</v>
      </c>
      <c r="H389">
        <v>4</v>
      </c>
      <c r="I389">
        <v>193.65</v>
      </c>
    </row>
    <row r="390" spans="1:9">
      <c r="A390">
        <v>389</v>
      </c>
      <c r="B390">
        <v>2022</v>
      </c>
      <c r="C390" t="s">
        <v>50</v>
      </c>
      <c r="D390" t="s">
        <v>87</v>
      </c>
      <c r="E390">
        <v>11</v>
      </c>
      <c r="F390">
        <v>47</v>
      </c>
      <c r="G390">
        <v>2</v>
      </c>
      <c r="H390">
        <v>1</v>
      </c>
      <c r="I390">
        <v>23.4</v>
      </c>
    </row>
    <row r="391" spans="1:9">
      <c r="A391">
        <v>390</v>
      </c>
      <c r="B391">
        <v>2021</v>
      </c>
      <c r="C391" t="s">
        <v>56</v>
      </c>
      <c r="D391" t="s">
        <v>62</v>
      </c>
      <c r="E391">
        <v>27</v>
      </c>
      <c r="F391">
        <v>21</v>
      </c>
      <c r="G391">
        <v>0</v>
      </c>
      <c r="H391">
        <v>4</v>
      </c>
      <c r="I391">
        <v>128.57</v>
      </c>
    </row>
    <row r="392" spans="1:9">
      <c r="A392">
        <v>391</v>
      </c>
      <c r="B392">
        <v>2025</v>
      </c>
      <c r="C392" t="s">
        <v>56</v>
      </c>
      <c r="D392" t="s">
        <v>33</v>
      </c>
      <c r="E392">
        <v>35</v>
      </c>
      <c r="F392">
        <v>14</v>
      </c>
      <c r="G392">
        <v>8</v>
      </c>
      <c r="H392">
        <v>3</v>
      </c>
      <c r="I392">
        <v>250</v>
      </c>
    </row>
    <row r="393" spans="1:9">
      <c r="A393">
        <v>392</v>
      </c>
      <c r="B393">
        <v>2023</v>
      </c>
      <c r="C393" t="s">
        <v>21</v>
      </c>
      <c r="D393" t="s">
        <v>41</v>
      </c>
      <c r="E393">
        <v>22</v>
      </c>
      <c r="F393">
        <v>37</v>
      </c>
      <c r="G393">
        <v>3</v>
      </c>
      <c r="H393">
        <v>2</v>
      </c>
      <c r="I393">
        <v>59.46</v>
      </c>
    </row>
    <row r="394" spans="1:9">
      <c r="A394">
        <v>393</v>
      </c>
      <c r="B394">
        <v>2022</v>
      </c>
      <c r="C394" t="s">
        <v>21</v>
      </c>
      <c r="D394" t="s">
        <v>87</v>
      </c>
      <c r="E394">
        <v>20</v>
      </c>
      <c r="F394">
        <v>31</v>
      </c>
      <c r="G394">
        <v>5</v>
      </c>
      <c r="H394">
        <v>1</v>
      </c>
      <c r="I394">
        <v>64.52</v>
      </c>
    </row>
    <row r="395" spans="1:9">
      <c r="A395">
        <v>394</v>
      </c>
      <c r="B395">
        <v>2023</v>
      </c>
      <c r="C395" t="s">
        <v>15</v>
      </c>
      <c r="D395" t="s">
        <v>29</v>
      </c>
      <c r="E395">
        <v>19</v>
      </c>
      <c r="F395">
        <v>20</v>
      </c>
      <c r="G395">
        <v>4</v>
      </c>
      <c r="H395">
        <v>1</v>
      </c>
      <c r="I395">
        <v>95</v>
      </c>
    </row>
    <row r="396" spans="1:9">
      <c r="A396">
        <v>395</v>
      </c>
      <c r="B396">
        <v>2021</v>
      </c>
      <c r="C396" t="s">
        <v>15</v>
      </c>
      <c r="D396" t="s">
        <v>90</v>
      </c>
      <c r="E396">
        <v>45</v>
      </c>
      <c r="F396">
        <v>21</v>
      </c>
      <c r="G396">
        <v>10</v>
      </c>
      <c r="H396">
        <v>1</v>
      </c>
      <c r="I396">
        <v>214.29</v>
      </c>
    </row>
    <row r="397" spans="1:9">
      <c r="A397">
        <v>396</v>
      </c>
      <c r="B397">
        <v>2024</v>
      </c>
      <c r="C397" t="s">
        <v>56</v>
      </c>
      <c r="D397" t="s">
        <v>152</v>
      </c>
      <c r="E397">
        <v>62</v>
      </c>
      <c r="F397">
        <v>30</v>
      </c>
      <c r="G397">
        <v>7</v>
      </c>
      <c r="H397">
        <v>6</v>
      </c>
      <c r="I397">
        <v>206.67</v>
      </c>
    </row>
    <row r="398" spans="1:9">
      <c r="A398">
        <v>397</v>
      </c>
      <c r="B398">
        <v>2023</v>
      </c>
      <c r="C398" t="s">
        <v>47</v>
      </c>
      <c r="D398" t="s">
        <v>44</v>
      </c>
      <c r="E398">
        <v>23</v>
      </c>
      <c r="F398">
        <v>59</v>
      </c>
      <c r="G398">
        <v>5</v>
      </c>
      <c r="H398">
        <v>2</v>
      </c>
      <c r="I398">
        <v>38.979999999999997</v>
      </c>
    </row>
    <row r="399" spans="1:9">
      <c r="A399">
        <v>398</v>
      </c>
      <c r="B399">
        <v>2021</v>
      </c>
      <c r="C399" t="s">
        <v>56</v>
      </c>
      <c r="D399" t="s">
        <v>90</v>
      </c>
      <c r="E399">
        <v>55</v>
      </c>
      <c r="F399">
        <v>28</v>
      </c>
      <c r="G399">
        <v>10</v>
      </c>
      <c r="H399">
        <v>5</v>
      </c>
      <c r="I399">
        <v>196.43</v>
      </c>
    </row>
    <row r="400" spans="1:9">
      <c r="A400">
        <v>399</v>
      </c>
      <c r="B400">
        <v>2023</v>
      </c>
      <c r="C400" t="s">
        <v>21</v>
      </c>
      <c r="D400" t="s">
        <v>33</v>
      </c>
      <c r="E400">
        <v>87</v>
      </c>
      <c r="F400">
        <v>70</v>
      </c>
      <c r="G400">
        <v>7</v>
      </c>
      <c r="H400">
        <v>3</v>
      </c>
      <c r="I400">
        <v>124.29</v>
      </c>
    </row>
    <row r="401" spans="1:9">
      <c r="A401">
        <v>400</v>
      </c>
      <c r="B401">
        <v>2022</v>
      </c>
      <c r="C401" t="s">
        <v>27</v>
      </c>
      <c r="D401" t="s">
        <v>116</v>
      </c>
      <c r="E401">
        <v>18</v>
      </c>
      <c r="F401">
        <v>15</v>
      </c>
      <c r="G401">
        <v>4</v>
      </c>
      <c r="H401">
        <v>1</v>
      </c>
      <c r="I401">
        <v>120</v>
      </c>
    </row>
    <row r="402" spans="1:9">
      <c r="A402">
        <v>401</v>
      </c>
      <c r="B402">
        <v>2021</v>
      </c>
      <c r="C402" t="s">
        <v>21</v>
      </c>
      <c r="D402" t="s">
        <v>116</v>
      </c>
      <c r="E402">
        <v>38</v>
      </c>
      <c r="F402">
        <v>43</v>
      </c>
      <c r="G402">
        <v>2</v>
      </c>
      <c r="H402">
        <v>4</v>
      </c>
      <c r="I402">
        <v>88.37</v>
      </c>
    </row>
    <row r="403" spans="1:9">
      <c r="A403">
        <v>402</v>
      </c>
      <c r="B403">
        <v>2025</v>
      </c>
      <c r="C403" t="s">
        <v>22</v>
      </c>
      <c r="D403" t="s">
        <v>152</v>
      </c>
      <c r="E403">
        <v>75</v>
      </c>
      <c r="F403">
        <v>59</v>
      </c>
      <c r="G403">
        <v>9</v>
      </c>
      <c r="H403">
        <v>0</v>
      </c>
      <c r="I403">
        <v>127.12</v>
      </c>
    </row>
    <row r="404" spans="1:9">
      <c r="A404">
        <v>403</v>
      </c>
      <c r="B404">
        <v>2021</v>
      </c>
      <c r="C404" t="s">
        <v>36</v>
      </c>
      <c r="D404" t="s">
        <v>64</v>
      </c>
      <c r="E404">
        <v>16</v>
      </c>
      <c r="F404">
        <v>10</v>
      </c>
      <c r="G404">
        <v>1</v>
      </c>
      <c r="H404">
        <v>2</v>
      </c>
      <c r="I404">
        <v>160</v>
      </c>
    </row>
    <row r="405" spans="1:9">
      <c r="A405">
        <v>404</v>
      </c>
      <c r="B405">
        <v>2023</v>
      </c>
      <c r="C405" t="s">
        <v>32</v>
      </c>
      <c r="D405" t="s">
        <v>74</v>
      </c>
      <c r="E405">
        <v>29</v>
      </c>
      <c r="F405">
        <v>17</v>
      </c>
      <c r="G405">
        <v>7</v>
      </c>
      <c r="H405">
        <v>2</v>
      </c>
      <c r="I405">
        <v>170.59</v>
      </c>
    </row>
    <row r="406" spans="1:9">
      <c r="A406">
        <v>405</v>
      </c>
      <c r="B406">
        <v>2024</v>
      </c>
      <c r="C406" t="s">
        <v>56</v>
      </c>
      <c r="D406" t="s">
        <v>44</v>
      </c>
      <c r="E406">
        <v>32</v>
      </c>
      <c r="F406">
        <v>15</v>
      </c>
      <c r="G406">
        <v>0</v>
      </c>
      <c r="H406">
        <v>1</v>
      </c>
      <c r="I406">
        <v>213.33</v>
      </c>
    </row>
    <row r="407" spans="1:9">
      <c r="A407">
        <v>406</v>
      </c>
      <c r="B407">
        <v>2022</v>
      </c>
      <c r="C407" t="s">
        <v>47</v>
      </c>
      <c r="D407" t="s">
        <v>39</v>
      </c>
      <c r="E407">
        <v>50</v>
      </c>
      <c r="F407">
        <v>28</v>
      </c>
      <c r="G407">
        <v>0</v>
      </c>
      <c r="H407">
        <v>1</v>
      </c>
      <c r="I407">
        <v>178.57</v>
      </c>
    </row>
    <row r="408" spans="1:9">
      <c r="A408">
        <v>407</v>
      </c>
      <c r="B408">
        <v>2023</v>
      </c>
      <c r="C408" t="s">
        <v>32</v>
      </c>
      <c r="D408" t="s">
        <v>53</v>
      </c>
      <c r="E408">
        <v>116</v>
      </c>
      <c r="F408">
        <v>45</v>
      </c>
      <c r="G408">
        <v>12</v>
      </c>
      <c r="H408">
        <v>7</v>
      </c>
      <c r="I408">
        <v>257.77999999999997</v>
      </c>
    </row>
    <row r="409" spans="1:9">
      <c r="A409">
        <v>408</v>
      </c>
      <c r="B409">
        <v>2023</v>
      </c>
      <c r="C409" t="s">
        <v>50</v>
      </c>
      <c r="D409" t="s">
        <v>44</v>
      </c>
      <c r="E409">
        <v>47</v>
      </c>
      <c r="F409">
        <v>48</v>
      </c>
      <c r="G409">
        <v>3</v>
      </c>
      <c r="H409">
        <v>2</v>
      </c>
      <c r="I409">
        <v>97.92</v>
      </c>
    </row>
    <row r="410" spans="1:9">
      <c r="A410">
        <v>409</v>
      </c>
      <c r="B410">
        <v>2023</v>
      </c>
      <c r="C410" t="s">
        <v>21</v>
      </c>
      <c r="D410" t="s">
        <v>90</v>
      </c>
      <c r="E410">
        <v>111</v>
      </c>
      <c r="F410">
        <v>38</v>
      </c>
      <c r="G410">
        <v>10</v>
      </c>
      <c r="H410">
        <v>1</v>
      </c>
      <c r="I410">
        <v>292.11</v>
      </c>
    </row>
    <row r="411" spans="1:9">
      <c r="A411">
        <v>410</v>
      </c>
      <c r="B411">
        <v>2023</v>
      </c>
      <c r="C411" t="s">
        <v>32</v>
      </c>
      <c r="D411" t="s">
        <v>23</v>
      </c>
      <c r="E411">
        <v>0</v>
      </c>
      <c r="F411">
        <v>7</v>
      </c>
      <c r="G411">
        <v>0</v>
      </c>
      <c r="H411">
        <v>0</v>
      </c>
      <c r="I411">
        <v>0</v>
      </c>
    </row>
    <row r="412" spans="1:9">
      <c r="A412">
        <v>411</v>
      </c>
      <c r="B412">
        <v>2025</v>
      </c>
      <c r="C412" t="s">
        <v>14</v>
      </c>
      <c r="D412" t="s">
        <v>39</v>
      </c>
      <c r="E412">
        <v>117</v>
      </c>
      <c r="F412">
        <v>66</v>
      </c>
      <c r="G412">
        <v>11</v>
      </c>
      <c r="H412">
        <v>6</v>
      </c>
      <c r="I412">
        <v>177.27</v>
      </c>
    </row>
    <row r="413" spans="1:9">
      <c r="A413">
        <v>412</v>
      </c>
      <c r="B413">
        <v>2021</v>
      </c>
      <c r="C413" t="s">
        <v>50</v>
      </c>
      <c r="D413" t="s">
        <v>116</v>
      </c>
      <c r="E413">
        <v>92</v>
      </c>
      <c r="F413">
        <v>43</v>
      </c>
      <c r="G413">
        <v>11</v>
      </c>
      <c r="H413">
        <v>6</v>
      </c>
      <c r="I413">
        <v>213.95</v>
      </c>
    </row>
    <row r="414" spans="1:9">
      <c r="A414">
        <v>413</v>
      </c>
      <c r="B414">
        <v>2023</v>
      </c>
      <c r="C414" t="s">
        <v>15</v>
      </c>
      <c r="D414" t="s">
        <v>64</v>
      </c>
      <c r="E414">
        <v>17</v>
      </c>
      <c r="F414">
        <v>21</v>
      </c>
      <c r="G414">
        <v>0</v>
      </c>
      <c r="H414">
        <v>2</v>
      </c>
      <c r="I414">
        <v>80.95</v>
      </c>
    </row>
    <row r="415" spans="1:9">
      <c r="A415">
        <v>414</v>
      </c>
      <c r="B415">
        <v>2023</v>
      </c>
      <c r="C415" t="s">
        <v>21</v>
      </c>
      <c r="D415" t="s">
        <v>87</v>
      </c>
      <c r="E415">
        <v>3</v>
      </c>
      <c r="F415">
        <v>29</v>
      </c>
      <c r="G415">
        <v>0</v>
      </c>
      <c r="H415">
        <v>0</v>
      </c>
      <c r="I415">
        <v>10.34</v>
      </c>
    </row>
    <row r="416" spans="1:9">
      <c r="A416">
        <v>415</v>
      </c>
      <c r="B416">
        <v>2022</v>
      </c>
      <c r="C416" t="s">
        <v>27</v>
      </c>
      <c r="D416" t="s">
        <v>95</v>
      </c>
      <c r="E416">
        <v>48</v>
      </c>
      <c r="F416">
        <v>60</v>
      </c>
      <c r="G416">
        <v>1</v>
      </c>
      <c r="H416">
        <v>4</v>
      </c>
      <c r="I416">
        <v>80</v>
      </c>
    </row>
    <row r="417" spans="1:9">
      <c r="A417">
        <v>416</v>
      </c>
      <c r="B417">
        <v>2022</v>
      </c>
      <c r="C417" t="s">
        <v>47</v>
      </c>
      <c r="D417" t="s">
        <v>29</v>
      </c>
      <c r="E417">
        <v>108</v>
      </c>
      <c r="F417">
        <v>65</v>
      </c>
      <c r="G417">
        <v>0</v>
      </c>
      <c r="H417">
        <v>1</v>
      </c>
      <c r="I417">
        <v>166.15</v>
      </c>
    </row>
    <row r="418" spans="1:9">
      <c r="A418">
        <v>417</v>
      </c>
      <c r="B418">
        <v>2021</v>
      </c>
      <c r="C418" t="s">
        <v>27</v>
      </c>
      <c r="D418" t="s">
        <v>29</v>
      </c>
      <c r="E418">
        <v>124</v>
      </c>
      <c r="F418">
        <v>61</v>
      </c>
      <c r="G418">
        <v>7</v>
      </c>
      <c r="H418">
        <v>0</v>
      </c>
      <c r="I418">
        <v>203.28</v>
      </c>
    </row>
    <row r="419" spans="1:9">
      <c r="A419">
        <v>418</v>
      </c>
      <c r="B419">
        <v>2024</v>
      </c>
      <c r="C419" t="s">
        <v>47</v>
      </c>
      <c r="D419" t="s">
        <v>62</v>
      </c>
      <c r="E419">
        <v>25</v>
      </c>
      <c r="F419">
        <v>36</v>
      </c>
      <c r="G419">
        <v>4</v>
      </c>
      <c r="H419">
        <v>2</v>
      </c>
      <c r="I419">
        <v>69.44</v>
      </c>
    </row>
    <row r="420" spans="1:9">
      <c r="A420">
        <v>419</v>
      </c>
      <c r="B420">
        <v>2021</v>
      </c>
      <c r="C420" t="s">
        <v>14</v>
      </c>
      <c r="D420" t="s">
        <v>81</v>
      </c>
      <c r="E420">
        <v>3</v>
      </c>
      <c r="F420">
        <v>6</v>
      </c>
      <c r="G420">
        <v>0</v>
      </c>
      <c r="H420">
        <v>0</v>
      </c>
      <c r="I420">
        <v>50</v>
      </c>
    </row>
    <row r="421" spans="1:9">
      <c r="A421">
        <v>420</v>
      </c>
      <c r="B421">
        <v>2024</v>
      </c>
      <c r="C421" t="s">
        <v>32</v>
      </c>
      <c r="D421" t="s">
        <v>116</v>
      </c>
      <c r="E421">
        <v>4</v>
      </c>
      <c r="F421">
        <v>42</v>
      </c>
      <c r="G421">
        <v>1</v>
      </c>
      <c r="H421">
        <v>0</v>
      </c>
      <c r="I421">
        <v>9.52</v>
      </c>
    </row>
    <row r="422" spans="1:9">
      <c r="A422">
        <v>421</v>
      </c>
      <c r="B422">
        <v>2022</v>
      </c>
      <c r="C422" t="s">
        <v>47</v>
      </c>
      <c r="D422" t="s">
        <v>152</v>
      </c>
      <c r="E422">
        <v>59</v>
      </c>
      <c r="F422">
        <v>67</v>
      </c>
      <c r="G422">
        <v>11</v>
      </c>
      <c r="H422">
        <v>0</v>
      </c>
      <c r="I422">
        <v>88.06</v>
      </c>
    </row>
    <row r="423" spans="1:9">
      <c r="A423">
        <v>422</v>
      </c>
      <c r="B423">
        <v>2025</v>
      </c>
      <c r="C423" t="s">
        <v>36</v>
      </c>
      <c r="D423" t="s">
        <v>87</v>
      </c>
      <c r="E423">
        <v>80</v>
      </c>
      <c r="F423">
        <v>59</v>
      </c>
      <c r="G423">
        <v>8</v>
      </c>
      <c r="H423">
        <v>1</v>
      </c>
      <c r="I423">
        <v>135.59</v>
      </c>
    </row>
    <row r="424" spans="1:9">
      <c r="A424">
        <v>423</v>
      </c>
      <c r="B424">
        <v>2021</v>
      </c>
      <c r="C424" t="s">
        <v>15</v>
      </c>
      <c r="D424" t="s">
        <v>74</v>
      </c>
      <c r="E424">
        <v>29</v>
      </c>
      <c r="F424">
        <v>65</v>
      </c>
      <c r="G424">
        <v>7</v>
      </c>
      <c r="H424">
        <v>2</v>
      </c>
      <c r="I424">
        <v>44.62</v>
      </c>
    </row>
    <row r="425" spans="1:9">
      <c r="A425">
        <v>424</v>
      </c>
      <c r="B425">
        <v>2025</v>
      </c>
      <c r="C425" t="s">
        <v>47</v>
      </c>
      <c r="D425" t="s">
        <v>74</v>
      </c>
      <c r="E425">
        <v>5</v>
      </c>
      <c r="F425">
        <v>7</v>
      </c>
      <c r="G425">
        <v>1</v>
      </c>
      <c r="H425">
        <v>0</v>
      </c>
      <c r="I425">
        <v>71.430000000000007</v>
      </c>
    </row>
    <row r="426" spans="1:9">
      <c r="A426">
        <v>425</v>
      </c>
      <c r="B426">
        <v>2024</v>
      </c>
      <c r="C426" t="s">
        <v>47</v>
      </c>
      <c r="D426" t="s">
        <v>57</v>
      </c>
      <c r="E426">
        <v>59</v>
      </c>
      <c r="F426">
        <v>61</v>
      </c>
      <c r="G426">
        <v>8</v>
      </c>
      <c r="H426">
        <v>3</v>
      </c>
      <c r="I426">
        <v>96.72</v>
      </c>
    </row>
    <row r="427" spans="1:9">
      <c r="A427">
        <v>426</v>
      </c>
      <c r="B427">
        <v>2025</v>
      </c>
      <c r="C427" t="s">
        <v>50</v>
      </c>
      <c r="D427" t="s">
        <v>81</v>
      </c>
      <c r="E427">
        <v>33</v>
      </c>
      <c r="F427">
        <v>64</v>
      </c>
      <c r="G427">
        <v>4</v>
      </c>
      <c r="H427">
        <v>4</v>
      </c>
      <c r="I427">
        <v>51.56</v>
      </c>
    </row>
    <row r="428" spans="1:9">
      <c r="A428">
        <v>427</v>
      </c>
      <c r="B428">
        <v>2024</v>
      </c>
      <c r="C428" t="s">
        <v>32</v>
      </c>
      <c r="D428" t="s">
        <v>57</v>
      </c>
      <c r="E428">
        <v>41</v>
      </c>
      <c r="F428">
        <v>65</v>
      </c>
      <c r="G428">
        <v>9</v>
      </c>
      <c r="H428">
        <v>3</v>
      </c>
      <c r="I428">
        <v>63.08</v>
      </c>
    </row>
    <row r="429" spans="1:9">
      <c r="A429">
        <v>428</v>
      </c>
      <c r="B429">
        <v>2025</v>
      </c>
      <c r="C429" t="s">
        <v>15</v>
      </c>
      <c r="D429" t="s">
        <v>64</v>
      </c>
      <c r="E429">
        <v>33</v>
      </c>
      <c r="F429">
        <v>66</v>
      </c>
      <c r="G429">
        <v>2</v>
      </c>
      <c r="H429">
        <v>3</v>
      </c>
      <c r="I429">
        <v>50</v>
      </c>
    </row>
    <row r="430" spans="1:9">
      <c r="A430">
        <v>429</v>
      </c>
      <c r="B430">
        <v>2024</v>
      </c>
      <c r="C430" t="s">
        <v>27</v>
      </c>
      <c r="D430" t="s">
        <v>90</v>
      </c>
      <c r="E430">
        <v>25</v>
      </c>
      <c r="F430">
        <v>67</v>
      </c>
      <c r="G430">
        <v>6</v>
      </c>
      <c r="H430">
        <v>2</v>
      </c>
      <c r="I430">
        <v>37.31</v>
      </c>
    </row>
    <row r="431" spans="1:9">
      <c r="A431">
        <v>430</v>
      </c>
      <c r="B431">
        <v>2023</v>
      </c>
      <c r="C431" t="s">
        <v>47</v>
      </c>
      <c r="D431" t="s">
        <v>53</v>
      </c>
      <c r="E431">
        <v>26</v>
      </c>
      <c r="F431">
        <v>35</v>
      </c>
      <c r="G431">
        <v>6</v>
      </c>
      <c r="H431">
        <v>0</v>
      </c>
      <c r="I431">
        <v>74.290000000000006</v>
      </c>
    </row>
    <row r="432" spans="1:9">
      <c r="A432">
        <v>431</v>
      </c>
      <c r="B432">
        <v>2021</v>
      </c>
      <c r="C432" t="s">
        <v>14</v>
      </c>
      <c r="D432" t="s">
        <v>57</v>
      </c>
      <c r="E432">
        <v>45</v>
      </c>
      <c r="F432">
        <v>38</v>
      </c>
      <c r="G432">
        <v>10</v>
      </c>
      <c r="H432">
        <v>2</v>
      </c>
      <c r="I432">
        <v>118.42</v>
      </c>
    </row>
    <row r="433" spans="1:9">
      <c r="A433">
        <v>432</v>
      </c>
      <c r="B433">
        <v>2025</v>
      </c>
      <c r="C433" t="s">
        <v>27</v>
      </c>
      <c r="D433" t="s">
        <v>152</v>
      </c>
      <c r="E433">
        <v>25</v>
      </c>
      <c r="F433">
        <v>9</v>
      </c>
      <c r="G433">
        <v>1</v>
      </c>
      <c r="H433">
        <v>3</v>
      </c>
      <c r="I433">
        <v>277.77999999999997</v>
      </c>
    </row>
    <row r="434" spans="1:9">
      <c r="A434">
        <v>433</v>
      </c>
      <c r="B434">
        <v>2022</v>
      </c>
      <c r="C434" t="s">
        <v>32</v>
      </c>
      <c r="D434" t="s">
        <v>17</v>
      </c>
      <c r="E434">
        <v>15</v>
      </c>
      <c r="F434">
        <v>34</v>
      </c>
      <c r="G434">
        <v>3</v>
      </c>
      <c r="H434">
        <v>1</v>
      </c>
      <c r="I434">
        <v>44.12</v>
      </c>
    </row>
    <row r="435" spans="1:9">
      <c r="A435">
        <v>434</v>
      </c>
      <c r="B435">
        <v>2021</v>
      </c>
      <c r="C435" t="s">
        <v>47</v>
      </c>
      <c r="D435" t="s">
        <v>44</v>
      </c>
      <c r="E435">
        <v>90</v>
      </c>
      <c r="F435">
        <v>48</v>
      </c>
      <c r="G435">
        <v>12</v>
      </c>
      <c r="H435">
        <v>0</v>
      </c>
      <c r="I435">
        <v>187.5</v>
      </c>
    </row>
    <row r="436" spans="1:9">
      <c r="A436">
        <v>435</v>
      </c>
      <c r="B436">
        <v>2021</v>
      </c>
      <c r="C436" t="s">
        <v>36</v>
      </c>
      <c r="D436" t="s">
        <v>44</v>
      </c>
      <c r="E436">
        <v>65</v>
      </c>
      <c r="F436">
        <v>24</v>
      </c>
      <c r="G436">
        <v>9</v>
      </c>
      <c r="H436">
        <v>1</v>
      </c>
      <c r="I436">
        <v>270.83</v>
      </c>
    </row>
    <row r="437" spans="1:9">
      <c r="A437">
        <v>436</v>
      </c>
      <c r="B437">
        <v>2024</v>
      </c>
      <c r="C437" t="s">
        <v>14</v>
      </c>
      <c r="D437" t="s">
        <v>76</v>
      </c>
      <c r="E437">
        <v>28</v>
      </c>
      <c r="F437">
        <v>63</v>
      </c>
      <c r="G437">
        <v>1</v>
      </c>
      <c r="H437">
        <v>1</v>
      </c>
      <c r="I437">
        <v>44.44</v>
      </c>
    </row>
    <row r="438" spans="1:9">
      <c r="A438">
        <v>437</v>
      </c>
      <c r="B438">
        <v>2023</v>
      </c>
      <c r="C438" t="s">
        <v>36</v>
      </c>
      <c r="D438" t="s">
        <v>33</v>
      </c>
      <c r="E438">
        <v>26</v>
      </c>
      <c r="F438">
        <v>69</v>
      </c>
      <c r="G438">
        <v>2</v>
      </c>
      <c r="H438">
        <v>1</v>
      </c>
      <c r="I438">
        <v>37.68</v>
      </c>
    </row>
    <row r="439" spans="1:9">
      <c r="A439">
        <v>438</v>
      </c>
      <c r="B439">
        <v>2024</v>
      </c>
      <c r="C439" t="s">
        <v>22</v>
      </c>
      <c r="D439" t="s">
        <v>57</v>
      </c>
      <c r="E439">
        <v>37</v>
      </c>
      <c r="F439">
        <v>25</v>
      </c>
      <c r="G439">
        <v>9</v>
      </c>
      <c r="H439">
        <v>3</v>
      </c>
      <c r="I439">
        <v>148</v>
      </c>
    </row>
    <row r="440" spans="1:9">
      <c r="A440">
        <v>439</v>
      </c>
      <c r="B440">
        <v>2023</v>
      </c>
      <c r="C440" t="s">
        <v>36</v>
      </c>
      <c r="D440" t="s">
        <v>116</v>
      </c>
      <c r="E440">
        <v>9</v>
      </c>
      <c r="F440">
        <v>17</v>
      </c>
      <c r="G440">
        <v>2</v>
      </c>
      <c r="H440">
        <v>0</v>
      </c>
      <c r="I440">
        <v>52.94</v>
      </c>
    </row>
    <row r="441" spans="1:9">
      <c r="A441">
        <v>440</v>
      </c>
      <c r="B441">
        <v>2025</v>
      </c>
      <c r="C441" t="s">
        <v>56</v>
      </c>
      <c r="D441" t="s">
        <v>29</v>
      </c>
      <c r="E441">
        <v>54</v>
      </c>
      <c r="F441">
        <v>20</v>
      </c>
      <c r="G441">
        <v>3</v>
      </c>
      <c r="H441">
        <v>7</v>
      </c>
      <c r="I441">
        <v>270</v>
      </c>
    </row>
    <row r="442" spans="1:9">
      <c r="A442">
        <v>441</v>
      </c>
      <c r="B442">
        <v>2022</v>
      </c>
      <c r="C442" t="s">
        <v>32</v>
      </c>
      <c r="D442" t="s">
        <v>87</v>
      </c>
      <c r="E442">
        <v>106</v>
      </c>
      <c r="F442">
        <v>36</v>
      </c>
      <c r="G442">
        <v>12</v>
      </c>
      <c r="H442">
        <v>7</v>
      </c>
      <c r="I442">
        <v>294.44</v>
      </c>
    </row>
    <row r="443" spans="1:9">
      <c r="A443">
        <v>442</v>
      </c>
      <c r="B443">
        <v>2022</v>
      </c>
      <c r="C443" t="s">
        <v>56</v>
      </c>
      <c r="D443" t="s">
        <v>53</v>
      </c>
      <c r="E443">
        <v>43</v>
      </c>
      <c r="F443">
        <v>69</v>
      </c>
      <c r="G443">
        <v>1</v>
      </c>
      <c r="H443">
        <v>4</v>
      </c>
      <c r="I443">
        <v>62.32</v>
      </c>
    </row>
    <row r="444" spans="1:9">
      <c r="A444">
        <v>443</v>
      </c>
      <c r="B444">
        <v>2025</v>
      </c>
      <c r="C444" t="s">
        <v>56</v>
      </c>
      <c r="D444" t="s">
        <v>74</v>
      </c>
      <c r="E444">
        <v>62</v>
      </c>
      <c r="F444">
        <v>51</v>
      </c>
      <c r="G444">
        <v>2</v>
      </c>
      <c r="H444">
        <v>8</v>
      </c>
      <c r="I444">
        <v>121.57</v>
      </c>
    </row>
    <row r="445" spans="1:9">
      <c r="A445">
        <v>444</v>
      </c>
      <c r="B445">
        <v>2025</v>
      </c>
      <c r="C445" t="s">
        <v>32</v>
      </c>
      <c r="D445" t="s">
        <v>95</v>
      </c>
      <c r="E445">
        <v>54</v>
      </c>
      <c r="F445">
        <v>22</v>
      </c>
      <c r="G445">
        <v>6</v>
      </c>
      <c r="H445">
        <v>6</v>
      </c>
      <c r="I445">
        <v>245.45</v>
      </c>
    </row>
    <row r="446" spans="1:9">
      <c r="A446">
        <v>445</v>
      </c>
      <c r="B446">
        <v>2021</v>
      </c>
      <c r="C446" t="s">
        <v>47</v>
      </c>
      <c r="D446" t="s">
        <v>152</v>
      </c>
      <c r="E446">
        <v>7</v>
      </c>
      <c r="F446">
        <v>51</v>
      </c>
      <c r="G446">
        <v>1</v>
      </c>
      <c r="H446">
        <v>0</v>
      </c>
      <c r="I446">
        <v>13.73</v>
      </c>
    </row>
    <row r="447" spans="1:9">
      <c r="A447">
        <v>446</v>
      </c>
      <c r="B447">
        <v>2023</v>
      </c>
      <c r="C447" t="s">
        <v>14</v>
      </c>
      <c r="D447" t="s">
        <v>152</v>
      </c>
      <c r="E447">
        <v>5</v>
      </c>
      <c r="F447">
        <v>13</v>
      </c>
      <c r="G447">
        <v>1</v>
      </c>
      <c r="H447">
        <v>0</v>
      </c>
      <c r="I447">
        <v>38.46</v>
      </c>
    </row>
    <row r="448" spans="1:9">
      <c r="A448">
        <v>447</v>
      </c>
      <c r="B448">
        <v>2022</v>
      </c>
      <c r="C448" t="s">
        <v>32</v>
      </c>
      <c r="D448" t="s">
        <v>39</v>
      </c>
      <c r="E448">
        <v>15</v>
      </c>
      <c r="F448">
        <v>60</v>
      </c>
      <c r="G448">
        <v>3</v>
      </c>
      <c r="H448">
        <v>0</v>
      </c>
      <c r="I448">
        <v>25</v>
      </c>
    </row>
    <row r="449" spans="1:9">
      <c r="A449">
        <v>448</v>
      </c>
      <c r="B449">
        <v>2025</v>
      </c>
      <c r="C449" t="s">
        <v>27</v>
      </c>
      <c r="D449" t="s">
        <v>62</v>
      </c>
      <c r="E449">
        <v>33</v>
      </c>
      <c r="F449">
        <v>12</v>
      </c>
      <c r="G449">
        <v>4</v>
      </c>
      <c r="H449">
        <v>4</v>
      </c>
      <c r="I449">
        <v>275</v>
      </c>
    </row>
    <row r="450" spans="1:9">
      <c r="A450">
        <v>449</v>
      </c>
      <c r="B450">
        <v>2022</v>
      </c>
      <c r="C450" t="s">
        <v>32</v>
      </c>
      <c r="D450" t="s">
        <v>23</v>
      </c>
      <c r="E450">
        <v>80</v>
      </c>
      <c r="F450">
        <v>43</v>
      </c>
      <c r="G450">
        <v>5</v>
      </c>
      <c r="H450">
        <v>0</v>
      </c>
      <c r="I450">
        <v>186.05</v>
      </c>
    </row>
    <row r="451" spans="1:9">
      <c r="A451">
        <v>450</v>
      </c>
      <c r="B451">
        <v>2025</v>
      </c>
      <c r="C451" t="s">
        <v>15</v>
      </c>
      <c r="D451" t="s">
        <v>152</v>
      </c>
      <c r="E451">
        <v>51</v>
      </c>
      <c r="F451">
        <v>23</v>
      </c>
      <c r="G451">
        <v>7</v>
      </c>
      <c r="H451">
        <v>3</v>
      </c>
      <c r="I451">
        <v>221.74</v>
      </c>
    </row>
    <row r="452" spans="1:9">
      <c r="A452">
        <v>451</v>
      </c>
      <c r="B452">
        <v>2021</v>
      </c>
      <c r="C452" t="s">
        <v>36</v>
      </c>
      <c r="D452" t="s">
        <v>90</v>
      </c>
      <c r="E452">
        <v>88</v>
      </c>
      <c r="F452">
        <v>61</v>
      </c>
      <c r="G452">
        <v>12</v>
      </c>
      <c r="H452">
        <v>6</v>
      </c>
      <c r="I452">
        <v>144.26</v>
      </c>
    </row>
    <row r="453" spans="1:9">
      <c r="A453">
        <v>452</v>
      </c>
      <c r="B453">
        <v>2021</v>
      </c>
      <c r="C453" t="s">
        <v>22</v>
      </c>
      <c r="D453" t="s">
        <v>53</v>
      </c>
      <c r="E453">
        <v>2</v>
      </c>
      <c r="F453">
        <v>15</v>
      </c>
      <c r="G453">
        <v>0</v>
      </c>
      <c r="H453">
        <v>0</v>
      </c>
      <c r="I453">
        <v>13.33</v>
      </c>
    </row>
    <row r="454" spans="1:9">
      <c r="A454">
        <v>453</v>
      </c>
      <c r="B454">
        <v>2025</v>
      </c>
      <c r="C454" t="s">
        <v>32</v>
      </c>
      <c r="D454" t="s">
        <v>29</v>
      </c>
      <c r="E454">
        <v>27</v>
      </c>
      <c r="F454">
        <v>41</v>
      </c>
      <c r="G454">
        <v>1</v>
      </c>
      <c r="H454">
        <v>4</v>
      </c>
      <c r="I454">
        <v>65.849999999999994</v>
      </c>
    </row>
    <row r="455" spans="1:9">
      <c r="A455">
        <v>454</v>
      </c>
      <c r="B455">
        <v>2023</v>
      </c>
      <c r="C455" t="s">
        <v>36</v>
      </c>
      <c r="D455" t="s">
        <v>53</v>
      </c>
      <c r="E455">
        <v>40</v>
      </c>
      <c r="F455">
        <v>48</v>
      </c>
      <c r="G455">
        <v>0</v>
      </c>
      <c r="H455">
        <v>0</v>
      </c>
      <c r="I455">
        <v>83.33</v>
      </c>
    </row>
    <row r="456" spans="1:9">
      <c r="A456">
        <v>455</v>
      </c>
      <c r="B456">
        <v>2023</v>
      </c>
      <c r="C456" t="s">
        <v>36</v>
      </c>
      <c r="D456" t="s">
        <v>62</v>
      </c>
      <c r="E456">
        <v>30</v>
      </c>
      <c r="F456">
        <v>38</v>
      </c>
      <c r="G456">
        <v>7</v>
      </c>
      <c r="H456">
        <v>2</v>
      </c>
      <c r="I456">
        <v>78.95</v>
      </c>
    </row>
    <row r="457" spans="1:9">
      <c r="A457">
        <v>456</v>
      </c>
      <c r="B457">
        <v>2023</v>
      </c>
      <c r="C457" t="s">
        <v>32</v>
      </c>
      <c r="D457" t="s">
        <v>152</v>
      </c>
      <c r="E457">
        <v>46</v>
      </c>
      <c r="F457">
        <v>19</v>
      </c>
      <c r="G457">
        <v>0</v>
      </c>
      <c r="H457">
        <v>5</v>
      </c>
      <c r="I457">
        <v>242.11</v>
      </c>
    </row>
    <row r="458" spans="1:9">
      <c r="A458">
        <v>457</v>
      </c>
      <c r="B458">
        <v>2021</v>
      </c>
      <c r="C458" t="s">
        <v>15</v>
      </c>
      <c r="D458" t="s">
        <v>152</v>
      </c>
      <c r="E458">
        <v>31</v>
      </c>
      <c r="F458">
        <v>50</v>
      </c>
      <c r="G458">
        <v>0</v>
      </c>
      <c r="H458">
        <v>1</v>
      </c>
      <c r="I458">
        <v>62</v>
      </c>
    </row>
    <row r="459" spans="1:9">
      <c r="A459">
        <v>458</v>
      </c>
      <c r="B459">
        <v>2022</v>
      </c>
      <c r="C459" t="s">
        <v>47</v>
      </c>
      <c r="D459" t="s">
        <v>53</v>
      </c>
      <c r="E459">
        <v>14</v>
      </c>
      <c r="F459">
        <v>5</v>
      </c>
      <c r="G459">
        <v>3</v>
      </c>
      <c r="H459">
        <v>1</v>
      </c>
      <c r="I459">
        <v>280</v>
      </c>
    </row>
    <row r="460" spans="1:9">
      <c r="A460">
        <v>459</v>
      </c>
      <c r="B460">
        <v>2023</v>
      </c>
      <c r="C460" t="s">
        <v>50</v>
      </c>
      <c r="D460" t="s">
        <v>62</v>
      </c>
      <c r="E460">
        <v>44</v>
      </c>
      <c r="F460">
        <v>34</v>
      </c>
      <c r="G460">
        <v>4</v>
      </c>
      <c r="H460">
        <v>4</v>
      </c>
      <c r="I460">
        <v>129.41</v>
      </c>
    </row>
    <row r="461" spans="1:9">
      <c r="A461">
        <v>460</v>
      </c>
      <c r="B461">
        <v>2025</v>
      </c>
      <c r="C461" t="s">
        <v>50</v>
      </c>
      <c r="D461" t="s">
        <v>29</v>
      </c>
      <c r="E461">
        <v>63</v>
      </c>
      <c r="F461">
        <v>53</v>
      </c>
      <c r="G461">
        <v>1</v>
      </c>
      <c r="H461">
        <v>5</v>
      </c>
      <c r="I461">
        <v>118.87</v>
      </c>
    </row>
    <row r="462" spans="1:9">
      <c r="A462">
        <v>461</v>
      </c>
      <c r="B462">
        <v>2023</v>
      </c>
      <c r="C462" t="s">
        <v>36</v>
      </c>
      <c r="D462" t="s">
        <v>62</v>
      </c>
      <c r="E462">
        <v>46</v>
      </c>
      <c r="F462">
        <v>29</v>
      </c>
      <c r="G462">
        <v>7</v>
      </c>
      <c r="H462">
        <v>1</v>
      </c>
      <c r="I462">
        <v>158.62</v>
      </c>
    </row>
    <row r="463" spans="1:9">
      <c r="A463">
        <v>462</v>
      </c>
      <c r="B463">
        <v>2023</v>
      </c>
      <c r="C463" t="s">
        <v>27</v>
      </c>
      <c r="D463" t="s">
        <v>74</v>
      </c>
      <c r="E463">
        <v>20</v>
      </c>
      <c r="F463">
        <v>57</v>
      </c>
      <c r="G463">
        <v>1</v>
      </c>
      <c r="H463">
        <v>0</v>
      </c>
      <c r="I463">
        <v>35.090000000000003</v>
      </c>
    </row>
    <row r="464" spans="1:9">
      <c r="A464">
        <v>463</v>
      </c>
      <c r="B464">
        <v>2023</v>
      </c>
      <c r="C464" t="s">
        <v>32</v>
      </c>
      <c r="D464" t="s">
        <v>29</v>
      </c>
      <c r="E464">
        <v>54</v>
      </c>
      <c r="F464">
        <v>65</v>
      </c>
      <c r="G464">
        <v>7</v>
      </c>
      <c r="H464">
        <v>1</v>
      </c>
      <c r="I464">
        <v>83.08</v>
      </c>
    </row>
    <row r="465" spans="1:9">
      <c r="A465">
        <v>464</v>
      </c>
      <c r="B465">
        <v>2024</v>
      </c>
      <c r="C465" t="s">
        <v>56</v>
      </c>
      <c r="D465" t="s">
        <v>152</v>
      </c>
      <c r="E465">
        <v>101</v>
      </c>
      <c r="F465">
        <v>56</v>
      </c>
      <c r="G465">
        <v>4</v>
      </c>
      <c r="H465">
        <v>7</v>
      </c>
      <c r="I465">
        <v>180.36</v>
      </c>
    </row>
    <row r="466" spans="1:9">
      <c r="A466">
        <v>465</v>
      </c>
      <c r="B466">
        <v>2023</v>
      </c>
      <c r="C466" t="s">
        <v>32</v>
      </c>
      <c r="D466" t="s">
        <v>76</v>
      </c>
      <c r="E466">
        <v>106</v>
      </c>
      <c r="F466">
        <v>67</v>
      </c>
      <c r="G466">
        <v>2</v>
      </c>
      <c r="H466">
        <v>2</v>
      </c>
      <c r="I466">
        <v>158.21</v>
      </c>
    </row>
    <row r="467" spans="1:9">
      <c r="A467">
        <v>466</v>
      </c>
      <c r="B467">
        <v>2024</v>
      </c>
      <c r="C467" t="s">
        <v>36</v>
      </c>
      <c r="D467" t="s">
        <v>29</v>
      </c>
      <c r="E467">
        <v>117</v>
      </c>
      <c r="F467">
        <v>67</v>
      </c>
      <c r="G467">
        <v>2</v>
      </c>
      <c r="H467">
        <v>8</v>
      </c>
      <c r="I467">
        <v>174.63</v>
      </c>
    </row>
    <row r="468" spans="1:9">
      <c r="A468">
        <v>467</v>
      </c>
      <c r="B468">
        <v>2021</v>
      </c>
      <c r="C468" t="s">
        <v>36</v>
      </c>
      <c r="D468" t="s">
        <v>17</v>
      </c>
      <c r="E468">
        <v>58</v>
      </c>
      <c r="F468">
        <v>32</v>
      </c>
      <c r="G468">
        <v>7</v>
      </c>
      <c r="H468">
        <v>0</v>
      </c>
      <c r="I468">
        <v>181.25</v>
      </c>
    </row>
    <row r="469" spans="1:9">
      <c r="A469">
        <v>468</v>
      </c>
      <c r="B469">
        <v>2022</v>
      </c>
      <c r="C469" t="s">
        <v>27</v>
      </c>
      <c r="D469" t="s">
        <v>23</v>
      </c>
      <c r="E469">
        <v>30</v>
      </c>
      <c r="F469">
        <v>52</v>
      </c>
      <c r="G469">
        <v>7</v>
      </c>
      <c r="H469">
        <v>2</v>
      </c>
      <c r="I469">
        <v>57.69</v>
      </c>
    </row>
    <row r="470" spans="1:9">
      <c r="A470">
        <v>469</v>
      </c>
      <c r="B470">
        <v>2022</v>
      </c>
      <c r="C470" t="s">
        <v>21</v>
      </c>
      <c r="D470" t="s">
        <v>17</v>
      </c>
      <c r="E470">
        <v>74</v>
      </c>
      <c r="F470">
        <v>52</v>
      </c>
      <c r="G470">
        <v>0</v>
      </c>
      <c r="H470">
        <v>8</v>
      </c>
      <c r="I470">
        <v>142.31</v>
      </c>
    </row>
    <row r="471" spans="1:9">
      <c r="A471">
        <v>470</v>
      </c>
      <c r="B471">
        <v>2024</v>
      </c>
      <c r="C471" t="s">
        <v>27</v>
      </c>
      <c r="D471" t="s">
        <v>17</v>
      </c>
      <c r="E471">
        <v>78</v>
      </c>
      <c r="F471">
        <v>52</v>
      </c>
      <c r="G471">
        <v>5</v>
      </c>
      <c r="H471">
        <v>4</v>
      </c>
      <c r="I471">
        <v>150</v>
      </c>
    </row>
    <row r="472" spans="1:9">
      <c r="A472">
        <v>471</v>
      </c>
      <c r="B472">
        <v>2021</v>
      </c>
      <c r="C472" t="s">
        <v>15</v>
      </c>
      <c r="D472" t="s">
        <v>116</v>
      </c>
      <c r="E472">
        <v>4</v>
      </c>
      <c r="F472">
        <v>8</v>
      </c>
      <c r="G472">
        <v>1</v>
      </c>
      <c r="H472">
        <v>0</v>
      </c>
      <c r="I472">
        <v>50</v>
      </c>
    </row>
    <row r="473" spans="1:9">
      <c r="A473">
        <v>472</v>
      </c>
      <c r="B473">
        <v>2025</v>
      </c>
      <c r="C473" t="s">
        <v>14</v>
      </c>
      <c r="D473" t="s">
        <v>53</v>
      </c>
      <c r="E473">
        <v>27</v>
      </c>
      <c r="F473">
        <v>41</v>
      </c>
      <c r="G473">
        <v>2</v>
      </c>
      <c r="H473">
        <v>3</v>
      </c>
      <c r="I473">
        <v>65.849999999999994</v>
      </c>
    </row>
    <row r="474" spans="1:9">
      <c r="A474">
        <v>473</v>
      </c>
      <c r="B474">
        <v>2022</v>
      </c>
      <c r="C474" t="s">
        <v>14</v>
      </c>
      <c r="D474" t="s">
        <v>17</v>
      </c>
      <c r="E474">
        <v>17</v>
      </c>
      <c r="F474">
        <v>49</v>
      </c>
      <c r="G474">
        <v>0</v>
      </c>
      <c r="H474">
        <v>2</v>
      </c>
      <c r="I474">
        <v>34.69</v>
      </c>
    </row>
    <row r="475" spans="1:9">
      <c r="A475">
        <v>474</v>
      </c>
      <c r="B475">
        <v>2021</v>
      </c>
      <c r="C475" t="s">
        <v>47</v>
      </c>
      <c r="D475" t="s">
        <v>62</v>
      </c>
      <c r="E475">
        <v>115</v>
      </c>
      <c r="F475">
        <v>44</v>
      </c>
      <c r="G475">
        <v>5</v>
      </c>
      <c r="H475">
        <v>6</v>
      </c>
      <c r="I475">
        <v>261.36</v>
      </c>
    </row>
    <row r="476" spans="1:9">
      <c r="A476">
        <v>475</v>
      </c>
      <c r="B476">
        <v>2025</v>
      </c>
      <c r="C476" t="s">
        <v>47</v>
      </c>
      <c r="D476" t="s">
        <v>90</v>
      </c>
      <c r="E476">
        <v>17</v>
      </c>
      <c r="F476">
        <v>21</v>
      </c>
      <c r="G476">
        <v>4</v>
      </c>
      <c r="H476">
        <v>1</v>
      </c>
      <c r="I476">
        <v>80.95</v>
      </c>
    </row>
    <row r="477" spans="1:9">
      <c r="A477">
        <v>476</v>
      </c>
      <c r="B477">
        <v>2023</v>
      </c>
      <c r="C477" t="s">
        <v>47</v>
      </c>
      <c r="D477" t="s">
        <v>76</v>
      </c>
      <c r="E477">
        <v>41</v>
      </c>
      <c r="F477">
        <v>24</v>
      </c>
      <c r="G477">
        <v>1</v>
      </c>
      <c r="H477">
        <v>6</v>
      </c>
      <c r="I477">
        <v>170.83</v>
      </c>
    </row>
    <row r="478" spans="1:9">
      <c r="A478">
        <v>477</v>
      </c>
      <c r="B478">
        <v>2024</v>
      </c>
      <c r="C478" t="s">
        <v>32</v>
      </c>
      <c r="D478" t="s">
        <v>95</v>
      </c>
      <c r="E478">
        <v>86</v>
      </c>
      <c r="F478">
        <v>55</v>
      </c>
      <c r="G478">
        <v>8</v>
      </c>
      <c r="H478">
        <v>0</v>
      </c>
      <c r="I478">
        <v>156.36000000000001</v>
      </c>
    </row>
    <row r="479" spans="1:9">
      <c r="A479">
        <v>478</v>
      </c>
      <c r="B479">
        <v>2024</v>
      </c>
      <c r="C479" t="s">
        <v>47</v>
      </c>
      <c r="D479" t="s">
        <v>44</v>
      </c>
      <c r="E479">
        <v>10</v>
      </c>
      <c r="F479">
        <v>16</v>
      </c>
      <c r="G479">
        <v>2</v>
      </c>
      <c r="H479">
        <v>0</v>
      </c>
      <c r="I479">
        <v>62.5</v>
      </c>
    </row>
    <row r="480" spans="1:9">
      <c r="A480">
        <v>479</v>
      </c>
      <c r="B480">
        <v>2024</v>
      </c>
      <c r="C480" t="s">
        <v>50</v>
      </c>
      <c r="D480" t="s">
        <v>53</v>
      </c>
      <c r="E480">
        <v>41</v>
      </c>
      <c r="F480">
        <v>20</v>
      </c>
      <c r="G480">
        <v>8</v>
      </c>
      <c r="H480">
        <v>1</v>
      </c>
      <c r="I480">
        <v>205</v>
      </c>
    </row>
    <row r="481" spans="1:9">
      <c r="A481">
        <v>480</v>
      </c>
      <c r="B481">
        <v>2021</v>
      </c>
      <c r="C481" t="s">
        <v>22</v>
      </c>
      <c r="D481" t="s">
        <v>90</v>
      </c>
      <c r="E481">
        <v>33</v>
      </c>
      <c r="F481">
        <v>11</v>
      </c>
      <c r="G481">
        <v>3</v>
      </c>
      <c r="H481">
        <v>4</v>
      </c>
      <c r="I481">
        <v>300</v>
      </c>
    </row>
    <row r="482" spans="1:9">
      <c r="A482">
        <v>481</v>
      </c>
      <c r="B482">
        <v>2023</v>
      </c>
      <c r="C482" t="s">
        <v>36</v>
      </c>
      <c r="D482" t="s">
        <v>87</v>
      </c>
      <c r="E482">
        <v>42</v>
      </c>
      <c r="F482">
        <v>20</v>
      </c>
      <c r="G482">
        <v>8</v>
      </c>
      <c r="H482">
        <v>2</v>
      </c>
      <c r="I482">
        <v>210</v>
      </c>
    </row>
    <row r="483" spans="1:9">
      <c r="A483">
        <v>482</v>
      </c>
      <c r="B483">
        <v>2022</v>
      </c>
      <c r="C483" t="s">
        <v>14</v>
      </c>
      <c r="D483" t="s">
        <v>44</v>
      </c>
      <c r="E483">
        <v>31</v>
      </c>
      <c r="F483">
        <v>31</v>
      </c>
      <c r="G483">
        <v>7</v>
      </c>
      <c r="H483">
        <v>2</v>
      </c>
      <c r="I483">
        <v>100</v>
      </c>
    </row>
    <row r="484" spans="1:9">
      <c r="A484">
        <v>483</v>
      </c>
      <c r="B484">
        <v>2021</v>
      </c>
      <c r="C484" t="s">
        <v>21</v>
      </c>
      <c r="D484" t="s">
        <v>23</v>
      </c>
      <c r="E484">
        <v>102</v>
      </c>
      <c r="F484">
        <v>46</v>
      </c>
      <c r="G484">
        <v>9</v>
      </c>
      <c r="H484">
        <v>0</v>
      </c>
      <c r="I484">
        <v>221.74</v>
      </c>
    </row>
    <row r="485" spans="1:9">
      <c r="A485">
        <v>484</v>
      </c>
      <c r="B485">
        <v>2023</v>
      </c>
      <c r="C485" t="s">
        <v>47</v>
      </c>
      <c r="D485" t="s">
        <v>87</v>
      </c>
      <c r="E485">
        <v>111</v>
      </c>
      <c r="F485">
        <v>48</v>
      </c>
      <c r="G485">
        <v>2</v>
      </c>
      <c r="H485">
        <v>6</v>
      </c>
      <c r="I485">
        <v>231.25</v>
      </c>
    </row>
    <row r="486" spans="1:9">
      <c r="A486">
        <v>485</v>
      </c>
      <c r="B486">
        <v>2022</v>
      </c>
      <c r="C486" t="s">
        <v>14</v>
      </c>
      <c r="D486" t="s">
        <v>152</v>
      </c>
      <c r="E486">
        <v>97</v>
      </c>
      <c r="F486">
        <v>45</v>
      </c>
      <c r="G486">
        <v>4</v>
      </c>
      <c r="H486">
        <v>1</v>
      </c>
      <c r="I486">
        <v>215.56</v>
      </c>
    </row>
    <row r="487" spans="1:9">
      <c r="A487">
        <v>486</v>
      </c>
      <c r="B487">
        <v>2021</v>
      </c>
      <c r="C487" t="s">
        <v>21</v>
      </c>
      <c r="D487" t="s">
        <v>17</v>
      </c>
      <c r="E487">
        <v>36</v>
      </c>
      <c r="F487">
        <v>26</v>
      </c>
      <c r="G487">
        <v>2</v>
      </c>
      <c r="H487">
        <v>2</v>
      </c>
      <c r="I487">
        <v>138.46</v>
      </c>
    </row>
    <row r="488" spans="1:9">
      <c r="A488">
        <v>487</v>
      </c>
      <c r="B488">
        <v>2023</v>
      </c>
      <c r="C488" t="s">
        <v>15</v>
      </c>
      <c r="D488" t="s">
        <v>64</v>
      </c>
      <c r="E488">
        <v>39</v>
      </c>
      <c r="F488">
        <v>24</v>
      </c>
      <c r="G488">
        <v>6</v>
      </c>
      <c r="H488">
        <v>2</v>
      </c>
      <c r="I488">
        <v>162.5</v>
      </c>
    </row>
    <row r="489" spans="1:9">
      <c r="A489">
        <v>488</v>
      </c>
      <c r="B489">
        <v>2024</v>
      </c>
      <c r="C489" t="s">
        <v>14</v>
      </c>
      <c r="D489" t="s">
        <v>90</v>
      </c>
      <c r="E489">
        <v>46</v>
      </c>
      <c r="F489">
        <v>46</v>
      </c>
      <c r="G489">
        <v>0</v>
      </c>
      <c r="H489">
        <v>0</v>
      </c>
      <c r="I489">
        <v>100</v>
      </c>
    </row>
    <row r="490" spans="1:9">
      <c r="A490">
        <v>489</v>
      </c>
      <c r="B490">
        <v>2021</v>
      </c>
      <c r="C490" t="s">
        <v>15</v>
      </c>
      <c r="D490" t="s">
        <v>41</v>
      </c>
      <c r="E490">
        <v>20</v>
      </c>
      <c r="F490">
        <v>17</v>
      </c>
      <c r="G490">
        <v>2</v>
      </c>
      <c r="H490">
        <v>2</v>
      </c>
      <c r="I490">
        <v>117.65</v>
      </c>
    </row>
    <row r="491" spans="1:9">
      <c r="A491">
        <v>490</v>
      </c>
      <c r="B491">
        <v>2023</v>
      </c>
      <c r="C491" t="s">
        <v>56</v>
      </c>
      <c r="D491" t="s">
        <v>44</v>
      </c>
      <c r="E491">
        <v>30</v>
      </c>
      <c r="F491">
        <v>53</v>
      </c>
      <c r="G491">
        <v>0</v>
      </c>
      <c r="H491">
        <v>3</v>
      </c>
      <c r="I491">
        <v>56.6</v>
      </c>
    </row>
    <row r="492" spans="1:9">
      <c r="A492">
        <v>491</v>
      </c>
      <c r="B492">
        <v>2023</v>
      </c>
      <c r="C492" t="s">
        <v>22</v>
      </c>
      <c r="D492" t="s">
        <v>90</v>
      </c>
      <c r="E492">
        <v>63</v>
      </c>
      <c r="F492">
        <v>35</v>
      </c>
      <c r="G492">
        <v>8</v>
      </c>
      <c r="H492">
        <v>7</v>
      </c>
      <c r="I492">
        <v>180</v>
      </c>
    </row>
    <row r="493" spans="1:9">
      <c r="A493">
        <v>492</v>
      </c>
      <c r="B493">
        <v>2021</v>
      </c>
      <c r="C493" t="s">
        <v>32</v>
      </c>
      <c r="D493" t="s">
        <v>17</v>
      </c>
      <c r="E493">
        <v>7</v>
      </c>
      <c r="F493">
        <v>39</v>
      </c>
      <c r="G493">
        <v>1</v>
      </c>
      <c r="H493">
        <v>0</v>
      </c>
      <c r="I493">
        <v>17.95</v>
      </c>
    </row>
    <row r="494" spans="1:9">
      <c r="A494">
        <v>493</v>
      </c>
      <c r="B494">
        <v>2021</v>
      </c>
      <c r="C494" t="s">
        <v>36</v>
      </c>
      <c r="D494" t="s">
        <v>74</v>
      </c>
      <c r="E494">
        <v>30</v>
      </c>
      <c r="F494">
        <v>13</v>
      </c>
      <c r="G494">
        <v>0</v>
      </c>
      <c r="H494">
        <v>5</v>
      </c>
      <c r="I494">
        <v>230.77</v>
      </c>
    </row>
    <row r="495" spans="1:9">
      <c r="A495">
        <v>494</v>
      </c>
      <c r="B495">
        <v>2024</v>
      </c>
      <c r="C495" t="s">
        <v>22</v>
      </c>
      <c r="D495" t="s">
        <v>87</v>
      </c>
      <c r="E495">
        <v>70</v>
      </c>
      <c r="F495">
        <v>39</v>
      </c>
      <c r="G495">
        <v>9</v>
      </c>
      <c r="H495">
        <v>1</v>
      </c>
      <c r="I495">
        <v>179.49</v>
      </c>
    </row>
    <row r="496" spans="1:9">
      <c r="A496">
        <v>495</v>
      </c>
      <c r="B496">
        <v>2024</v>
      </c>
      <c r="C496" t="s">
        <v>22</v>
      </c>
      <c r="D496" t="s">
        <v>23</v>
      </c>
      <c r="E496">
        <v>38</v>
      </c>
      <c r="F496">
        <v>21</v>
      </c>
      <c r="G496">
        <v>9</v>
      </c>
      <c r="H496">
        <v>3</v>
      </c>
      <c r="I496">
        <v>180.95</v>
      </c>
    </row>
    <row r="497" spans="1:9">
      <c r="A497">
        <v>496</v>
      </c>
      <c r="B497">
        <v>2021</v>
      </c>
      <c r="C497" t="s">
        <v>47</v>
      </c>
      <c r="D497" t="s">
        <v>64</v>
      </c>
      <c r="E497">
        <v>52</v>
      </c>
      <c r="F497">
        <v>69</v>
      </c>
      <c r="G497">
        <v>12</v>
      </c>
      <c r="H497">
        <v>2</v>
      </c>
      <c r="I497">
        <v>75.36</v>
      </c>
    </row>
    <row r="498" spans="1:9">
      <c r="A498">
        <v>497</v>
      </c>
      <c r="B498">
        <v>2025</v>
      </c>
      <c r="C498" t="s">
        <v>56</v>
      </c>
      <c r="D498" t="s">
        <v>23</v>
      </c>
      <c r="E498">
        <v>31</v>
      </c>
      <c r="F498">
        <v>26</v>
      </c>
      <c r="G498">
        <v>7</v>
      </c>
      <c r="H498">
        <v>2</v>
      </c>
      <c r="I498">
        <v>119.23</v>
      </c>
    </row>
    <row r="499" spans="1:9">
      <c r="A499">
        <v>498</v>
      </c>
      <c r="B499">
        <v>2025</v>
      </c>
      <c r="C499" t="s">
        <v>36</v>
      </c>
      <c r="D499" t="s">
        <v>76</v>
      </c>
      <c r="E499">
        <v>0</v>
      </c>
      <c r="F499">
        <v>10</v>
      </c>
      <c r="G499">
        <v>0</v>
      </c>
      <c r="H499">
        <v>0</v>
      </c>
      <c r="I499">
        <v>0</v>
      </c>
    </row>
    <row r="500" spans="1:9">
      <c r="A500">
        <v>499</v>
      </c>
      <c r="B500">
        <v>2021</v>
      </c>
      <c r="C500" t="s">
        <v>27</v>
      </c>
      <c r="D500" t="s">
        <v>87</v>
      </c>
      <c r="E500">
        <v>30</v>
      </c>
      <c r="F500">
        <v>12</v>
      </c>
      <c r="G500">
        <v>4</v>
      </c>
      <c r="H500">
        <v>3</v>
      </c>
      <c r="I500">
        <v>250</v>
      </c>
    </row>
    <row r="501" spans="1:9">
      <c r="A501">
        <v>500</v>
      </c>
      <c r="B501">
        <v>2023</v>
      </c>
      <c r="C501" t="s">
        <v>32</v>
      </c>
      <c r="D501" t="s">
        <v>57</v>
      </c>
      <c r="E501">
        <v>74</v>
      </c>
      <c r="F501">
        <v>32</v>
      </c>
      <c r="G501">
        <v>8</v>
      </c>
      <c r="H501">
        <v>4</v>
      </c>
      <c r="I501">
        <v>231.25</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01"/>
  <sheetViews>
    <sheetView workbookViewId="0">
      <pane ySplit="1" topLeftCell="A483" activePane="bottomLeft" state="frozen"/>
      <selection pane="bottomLeft" activeCell="F1" sqref="F1"/>
    </sheetView>
  </sheetViews>
  <sheetFormatPr defaultRowHeight="14.5"/>
  <cols>
    <col min="1" max="3" width="12" customWidth="1"/>
    <col min="4" max="4" width="21" customWidth="1"/>
    <col min="5" max="5" width="12" customWidth="1"/>
    <col min="6" max="6" width="18.81640625" bestFit="1" customWidth="1"/>
    <col min="7" max="8" width="12" customWidth="1"/>
  </cols>
  <sheetData>
    <row r="1" spans="1:8">
      <c r="A1" s="3" t="s">
        <v>0</v>
      </c>
      <c r="B1" s="3" t="s">
        <v>1</v>
      </c>
      <c r="C1" s="3" t="s">
        <v>495</v>
      </c>
      <c r="D1" s="3" t="s">
        <v>501</v>
      </c>
      <c r="E1" s="3" t="s">
        <v>502</v>
      </c>
      <c r="F1" s="3" t="s">
        <v>503</v>
      </c>
      <c r="G1" s="3" t="s">
        <v>24</v>
      </c>
      <c r="H1" s="3" t="s">
        <v>504</v>
      </c>
    </row>
    <row r="2" spans="1:8">
      <c r="A2">
        <v>1</v>
      </c>
      <c r="B2">
        <v>2021</v>
      </c>
      <c r="C2" t="s">
        <v>14</v>
      </c>
      <c r="D2" t="s">
        <v>505</v>
      </c>
      <c r="E2">
        <v>4</v>
      </c>
      <c r="F2">
        <v>44</v>
      </c>
      <c r="G2">
        <v>4</v>
      </c>
      <c r="H2">
        <v>11</v>
      </c>
    </row>
    <row r="3" spans="1:8">
      <c r="A3">
        <v>2</v>
      </c>
      <c r="B3">
        <v>2021</v>
      </c>
      <c r="C3" t="s">
        <v>21</v>
      </c>
      <c r="D3" t="s">
        <v>506</v>
      </c>
      <c r="E3">
        <v>2</v>
      </c>
      <c r="F3">
        <v>35</v>
      </c>
      <c r="G3">
        <v>5</v>
      </c>
      <c r="H3">
        <v>17.5</v>
      </c>
    </row>
    <row r="4" spans="1:8">
      <c r="A4">
        <v>3</v>
      </c>
      <c r="B4">
        <v>2023</v>
      </c>
      <c r="C4" t="s">
        <v>21</v>
      </c>
      <c r="D4" t="s">
        <v>507</v>
      </c>
      <c r="E4">
        <v>2</v>
      </c>
      <c r="F4">
        <v>45</v>
      </c>
      <c r="G4">
        <v>2</v>
      </c>
      <c r="H4">
        <v>22.5</v>
      </c>
    </row>
    <row r="5" spans="1:8">
      <c r="A5">
        <v>4</v>
      </c>
      <c r="B5">
        <v>2021</v>
      </c>
      <c r="C5" t="s">
        <v>32</v>
      </c>
      <c r="D5" t="s">
        <v>508</v>
      </c>
      <c r="E5">
        <v>4</v>
      </c>
      <c r="F5">
        <v>42</v>
      </c>
      <c r="G5">
        <v>2</v>
      </c>
      <c r="H5">
        <v>10.5</v>
      </c>
    </row>
    <row r="6" spans="1:8">
      <c r="A6">
        <v>5</v>
      </c>
      <c r="B6">
        <v>2021</v>
      </c>
      <c r="C6" t="s">
        <v>56</v>
      </c>
      <c r="D6" t="s">
        <v>509</v>
      </c>
      <c r="E6">
        <v>3</v>
      </c>
      <c r="F6">
        <v>38</v>
      </c>
      <c r="G6">
        <v>2</v>
      </c>
      <c r="H6">
        <v>12.67</v>
      </c>
    </row>
    <row r="7" spans="1:8">
      <c r="A7">
        <v>6</v>
      </c>
      <c r="B7">
        <v>2022</v>
      </c>
      <c r="C7" t="s">
        <v>22</v>
      </c>
      <c r="D7" t="s">
        <v>509</v>
      </c>
      <c r="E7">
        <v>3</v>
      </c>
      <c r="F7">
        <v>31</v>
      </c>
      <c r="G7">
        <v>1</v>
      </c>
      <c r="H7">
        <v>10.33</v>
      </c>
    </row>
    <row r="8" spans="1:8">
      <c r="A8">
        <v>7</v>
      </c>
      <c r="B8">
        <v>2023</v>
      </c>
      <c r="C8" t="s">
        <v>47</v>
      </c>
      <c r="D8" t="s">
        <v>510</v>
      </c>
      <c r="E8">
        <v>3</v>
      </c>
      <c r="F8">
        <v>11</v>
      </c>
      <c r="G8">
        <v>5</v>
      </c>
      <c r="H8">
        <v>3.67</v>
      </c>
    </row>
    <row r="9" spans="1:8">
      <c r="A9">
        <v>8</v>
      </c>
      <c r="B9">
        <v>2023</v>
      </c>
      <c r="C9" t="s">
        <v>27</v>
      </c>
      <c r="D9" t="s">
        <v>509</v>
      </c>
      <c r="E9">
        <v>2</v>
      </c>
      <c r="F9">
        <v>48</v>
      </c>
      <c r="G9">
        <v>3</v>
      </c>
      <c r="H9">
        <v>24</v>
      </c>
    </row>
    <row r="10" spans="1:8">
      <c r="A10">
        <v>9</v>
      </c>
      <c r="B10">
        <v>2023</v>
      </c>
      <c r="C10" t="s">
        <v>14</v>
      </c>
      <c r="D10" t="s">
        <v>511</v>
      </c>
      <c r="E10">
        <v>2</v>
      </c>
      <c r="F10">
        <v>21</v>
      </c>
      <c r="G10">
        <v>3</v>
      </c>
      <c r="H10">
        <v>10.5</v>
      </c>
    </row>
    <row r="11" spans="1:8">
      <c r="A11">
        <v>10</v>
      </c>
      <c r="B11">
        <v>2023</v>
      </c>
      <c r="C11" t="s">
        <v>36</v>
      </c>
      <c r="D11" t="s">
        <v>511</v>
      </c>
      <c r="E11">
        <v>4</v>
      </c>
      <c r="F11">
        <v>41</v>
      </c>
      <c r="G11">
        <v>3</v>
      </c>
      <c r="H11">
        <v>10.25</v>
      </c>
    </row>
    <row r="12" spans="1:8">
      <c r="A12">
        <v>11</v>
      </c>
      <c r="B12">
        <v>2021</v>
      </c>
      <c r="C12" t="s">
        <v>36</v>
      </c>
      <c r="D12" t="s">
        <v>512</v>
      </c>
      <c r="E12">
        <v>4</v>
      </c>
      <c r="F12">
        <v>14</v>
      </c>
      <c r="G12">
        <v>4</v>
      </c>
      <c r="H12">
        <v>3.5</v>
      </c>
    </row>
    <row r="13" spans="1:8">
      <c r="A13">
        <v>12</v>
      </c>
      <c r="B13">
        <v>2021</v>
      </c>
      <c r="C13" t="s">
        <v>14</v>
      </c>
      <c r="D13" t="s">
        <v>511</v>
      </c>
      <c r="E13">
        <v>4</v>
      </c>
      <c r="F13">
        <v>38</v>
      </c>
      <c r="G13">
        <v>5</v>
      </c>
      <c r="H13">
        <v>9.5</v>
      </c>
    </row>
    <row r="14" spans="1:8">
      <c r="A14">
        <v>13</v>
      </c>
      <c r="B14">
        <v>2023</v>
      </c>
      <c r="C14" t="s">
        <v>21</v>
      </c>
      <c r="D14" t="s">
        <v>513</v>
      </c>
      <c r="E14">
        <v>3</v>
      </c>
      <c r="F14">
        <v>48</v>
      </c>
      <c r="G14">
        <v>2</v>
      </c>
      <c r="H14">
        <v>16</v>
      </c>
    </row>
    <row r="15" spans="1:8">
      <c r="A15">
        <v>14</v>
      </c>
      <c r="B15">
        <v>2025</v>
      </c>
      <c r="C15" t="s">
        <v>32</v>
      </c>
      <c r="D15" t="s">
        <v>505</v>
      </c>
      <c r="E15">
        <v>4</v>
      </c>
      <c r="F15">
        <v>10</v>
      </c>
      <c r="G15">
        <v>0</v>
      </c>
      <c r="H15">
        <v>2.5</v>
      </c>
    </row>
    <row r="16" spans="1:8">
      <c r="A16">
        <v>15</v>
      </c>
      <c r="B16">
        <v>2025</v>
      </c>
      <c r="C16" t="s">
        <v>47</v>
      </c>
      <c r="D16" t="s">
        <v>513</v>
      </c>
      <c r="E16">
        <v>2</v>
      </c>
      <c r="F16">
        <v>38</v>
      </c>
      <c r="G16">
        <v>0</v>
      </c>
      <c r="H16">
        <v>19</v>
      </c>
    </row>
    <row r="17" spans="1:8">
      <c r="A17">
        <v>16</v>
      </c>
      <c r="B17">
        <v>2025</v>
      </c>
      <c r="C17" t="s">
        <v>22</v>
      </c>
      <c r="D17" t="s">
        <v>41</v>
      </c>
      <c r="E17">
        <v>2</v>
      </c>
      <c r="F17">
        <v>27</v>
      </c>
      <c r="G17">
        <v>5</v>
      </c>
      <c r="H17">
        <v>13.5</v>
      </c>
    </row>
    <row r="18" spans="1:8">
      <c r="A18">
        <v>17</v>
      </c>
      <c r="B18">
        <v>2021</v>
      </c>
      <c r="C18" t="s">
        <v>56</v>
      </c>
      <c r="D18" t="s">
        <v>508</v>
      </c>
      <c r="E18">
        <v>2</v>
      </c>
      <c r="F18">
        <v>49</v>
      </c>
      <c r="G18">
        <v>5</v>
      </c>
      <c r="H18">
        <v>24.5</v>
      </c>
    </row>
    <row r="19" spans="1:8">
      <c r="A19">
        <v>18</v>
      </c>
      <c r="B19">
        <v>2021</v>
      </c>
      <c r="C19" t="s">
        <v>15</v>
      </c>
      <c r="D19" t="s">
        <v>514</v>
      </c>
      <c r="E19">
        <v>4</v>
      </c>
      <c r="F19">
        <v>24</v>
      </c>
      <c r="G19">
        <v>1</v>
      </c>
      <c r="H19">
        <v>6</v>
      </c>
    </row>
    <row r="20" spans="1:8">
      <c r="A20">
        <v>19</v>
      </c>
      <c r="B20">
        <v>2025</v>
      </c>
      <c r="C20" t="s">
        <v>47</v>
      </c>
      <c r="D20" t="s">
        <v>513</v>
      </c>
      <c r="E20">
        <v>2</v>
      </c>
      <c r="F20">
        <v>27</v>
      </c>
      <c r="G20">
        <v>3</v>
      </c>
      <c r="H20">
        <v>13.5</v>
      </c>
    </row>
    <row r="21" spans="1:8">
      <c r="A21">
        <v>20</v>
      </c>
      <c r="B21">
        <v>2024</v>
      </c>
      <c r="C21" t="s">
        <v>50</v>
      </c>
      <c r="D21" t="s">
        <v>508</v>
      </c>
      <c r="E21">
        <v>2</v>
      </c>
      <c r="F21">
        <v>22</v>
      </c>
      <c r="G21">
        <v>5</v>
      </c>
      <c r="H21">
        <v>11</v>
      </c>
    </row>
    <row r="22" spans="1:8">
      <c r="A22">
        <v>21</v>
      </c>
      <c r="B22">
        <v>2022</v>
      </c>
      <c r="C22" t="s">
        <v>32</v>
      </c>
      <c r="D22" t="s">
        <v>512</v>
      </c>
      <c r="E22">
        <v>3</v>
      </c>
      <c r="F22">
        <v>46</v>
      </c>
      <c r="G22">
        <v>4</v>
      </c>
      <c r="H22">
        <v>15.33</v>
      </c>
    </row>
    <row r="23" spans="1:8">
      <c r="A23">
        <v>22</v>
      </c>
      <c r="B23">
        <v>2025</v>
      </c>
      <c r="C23" t="s">
        <v>47</v>
      </c>
      <c r="D23" t="s">
        <v>505</v>
      </c>
      <c r="E23">
        <v>4</v>
      </c>
      <c r="F23">
        <v>22</v>
      </c>
      <c r="G23">
        <v>5</v>
      </c>
      <c r="H23">
        <v>5.5</v>
      </c>
    </row>
    <row r="24" spans="1:8">
      <c r="A24">
        <v>23</v>
      </c>
      <c r="B24">
        <v>2024</v>
      </c>
      <c r="C24" t="s">
        <v>50</v>
      </c>
      <c r="D24" t="s">
        <v>509</v>
      </c>
      <c r="E24">
        <v>4</v>
      </c>
      <c r="F24">
        <v>48</v>
      </c>
      <c r="G24">
        <v>4</v>
      </c>
      <c r="H24">
        <v>12</v>
      </c>
    </row>
    <row r="25" spans="1:8">
      <c r="A25">
        <v>24</v>
      </c>
      <c r="B25">
        <v>2025</v>
      </c>
      <c r="C25" t="s">
        <v>27</v>
      </c>
      <c r="D25" t="s">
        <v>512</v>
      </c>
      <c r="E25">
        <v>4</v>
      </c>
      <c r="F25">
        <v>18</v>
      </c>
      <c r="G25">
        <v>5</v>
      </c>
      <c r="H25">
        <v>4.5</v>
      </c>
    </row>
    <row r="26" spans="1:8">
      <c r="A26">
        <v>25</v>
      </c>
      <c r="B26">
        <v>2021</v>
      </c>
      <c r="C26" t="s">
        <v>21</v>
      </c>
      <c r="D26" t="s">
        <v>505</v>
      </c>
      <c r="E26">
        <v>3</v>
      </c>
      <c r="F26">
        <v>46</v>
      </c>
      <c r="G26">
        <v>1</v>
      </c>
      <c r="H26">
        <v>15.33</v>
      </c>
    </row>
    <row r="27" spans="1:8">
      <c r="A27">
        <v>26</v>
      </c>
      <c r="B27">
        <v>2022</v>
      </c>
      <c r="C27" t="s">
        <v>36</v>
      </c>
      <c r="D27" t="s">
        <v>41</v>
      </c>
      <c r="E27">
        <v>3</v>
      </c>
      <c r="F27">
        <v>22</v>
      </c>
      <c r="G27">
        <v>5</v>
      </c>
      <c r="H27">
        <v>7.33</v>
      </c>
    </row>
    <row r="28" spans="1:8">
      <c r="A28">
        <v>27</v>
      </c>
      <c r="B28">
        <v>2023</v>
      </c>
      <c r="C28" t="s">
        <v>14</v>
      </c>
      <c r="D28" t="s">
        <v>41</v>
      </c>
      <c r="E28">
        <v>4</v>
      </c>
      <c r="F28">
        <v>44</v>
      </c>
      <c r="G28">
        <v>4</v>
      </c>
      <c r="H28">
        <v>11</v>
      </c>
    </row>
    <row r="29" spans="1:8">
      <c r="A29">
        <v>28</v>
      </c>
      <c r="B29">
        <v>2025</v>
      </c>
      <c r="C29" t="s">
        <v>15</v>
      </c>
      <c r="D29" t="s">
        <v>509</v>
      </c>
      <c r="E29">
        <v>4</v>
      </c>
      <c r="F29">
        <v>39</v>
      </c>
      <c r="G29">
        <v>0</v>
      </c>
      <c r="H29">
        <v>9.75</v>
      </c>
    </row>
    <row r="30" spans="1:8">
      <c r="A30">
        <v>29</v>
      </c>
      <c r="B30">
        <v>2023</v>
      </c>
      <c r="C30" t="s">
        <v>32</v>
      </c>
      <c r="D30" t="s">
        <v>509</v>
      </c>
      <c r="E30">
        <v>4</v>
      </c>
      <c r="F30">
        <v>13</v>
      </c>
      <c r="G30">
        <v>2</v>
      </c>
      <c r="H30">
        <v>3.25</v>
      </c>
    </row>
    <row r="31" spans="1:8">
      <c r="A31">
        <v>30</v>
      </c>
      <c r="B31">
        <v>2025</v>
      </c>
      <c r="C31" t="s">
        <v>32</v>
      </c>
      <c r="D31" t="s">
        <v>507</v>
      </c>
      <c r="E31">
        <v>3</v>
      </c>
      <c r="F31">
        <v>27</v>
      </c>
      <c r="G31">
        <v>0</v>
      </c>
      <c r="H31">
        <v>9</v>
      </c>
    </row>
    <row r="32" spans="1:8">
      <c r="A32">
        <v>31</v>
      </c>
      <c r="B32">
        <v>2021</v>
      </c>
      <c r="C32" t="s">
        <v>36</v>
      </c>
      <c r="D32" t="s">
        <v>515</v>
      </c>
      <c r="E32">
        <v>3</v>
      </c>
      <c r="F32">
        <v>33</v>
      </c>
      <c r="G32">
        <v>4</v>
      </c>
      <c r="H32">
        <v>11</v>
      </c>
    </row>
    <row r="33" spans="1:8">
      <c r="A33">
        <v>32</v>
      </c>
      <c r="B33">
        <v>2024</v>
      </c>
      <c r="C33" t="s">
        <v>14</v>
      </c>
      <c r="D33" t="s">
        <v>511</v>
      </c>
      <c r="E33">
        <v>4</v>
      </c>
      <c r="F33">
        <v>24</v>
      </c>
      <c r="G33">
        <v>0</v>
      </c>
      <c r="H33">
        <v>6</v>
      </c>
    </row>
    <row r="34" spans="1:8">
      <c r="A34">
        <v>33</v>
      </c>
      <c r="B34">
        <v>2025</v>
      </c>
      <c r="C34" t="s">
        <v>15</v>
      </c>
      <c r="D34" t="s">
        <v>511</v>
      </c>
      <c r="E34">
        <v>3</v>
      </c>
      <c r="F34">
        <v>44</v>
      </c>
      <c r="G34">
        <v>3</v>
      </c>
      <c r="H34">
        <v>14.67</v>
      </c>
    </row>
    <row r="35" spans="1:8">
      <c r="A35">
        <v>34</v>
      </c>
      <c r="B35">
        <v>2022</v>
      </c>
      <c r="C35" t="s">
        <v>56</v>
      </c>
      <c r="D35" t="s">
        <v>516</v>
      </c>
      <c r="E35">
        <v>3</v>
      </c>
      <c r="F35">
        <v>22</v>
      </c>
      <c r="G35">
        <v>2</v>
      </c>
      <c r="H35">
        <v>7.33</v>
      </c>
    </row>
    <row r="36" spans="1:8">
      <c r="A36">
        <v>35</v>
      </c>
      <c r="B36">
        <v>2022</v>
      </c>
      <c r="C36" t="s">
        <v>21</v>
      </c>
      <c r="D36" t="s">
        <v>511</v>
      </c>
      <c r="E36">
        <v>4</v>
      </c>
      <c r="F36">
        <v>11</v>
      </c>
      <c r="G36">
        <v>5</v>
      </c>
      <c r="H36">
        <v>2.75</v>
      </c>
    </row>
    <row r="37" spans="1:8">
      <c r="A37">
        <v>36</v>
      </c>
      <c r="B37">
        <v>2022</v>
      </c>
      <c r="C37" t="s">
        <v>22</v>
      </c>
      <c r="D37" t="s">
        <v>41</v>
      </c>
      <c r="E37">
        <v>3</v>
      </c>
      <c r="F37">
        <v>14</v>
      </c>
      <c r="G37">
        <v>1</v>
      </c>
      <c r="H37">
        <v>4.67</v>
      </c>
    </row>
    <row r="38" spans="1:8">
      <c r="A38">
        <v>37</v>
      </c>
      <c r="B38">
        <v>2021</v>
      </c>
      <c r="C38" t="s">
        <v>22</v>
      </c>
      <c r="D38" t="s">
        <v>505</v>
      </c>
      <c r="E38">
        <v>3</v>
      </c>
      <c r="F38">
        <v>29</v>
      </c>
      <c r="G38">
        <v>0</v>
      </c>
      <c r="H38">
        <v>9.67</v>
      </c>
    </row>
    <row r="39" spans="1:8">
      <c r="A39">
        <v>38</v>
      </c>
      <c r="B39">
        <v>2021</v>
      </c>
      <c r="C39" t="s">
        <v>21</v>
      </c>
      <c r="D39" t="s">
        <v>516</v>
      </c>
      <c r="E39">
        <v>3</v>
      </c>
      <c r="F39">
        <v>37</v>
      </c>
      <c r="G39">
        <v>0</v>
      </c>
      <c r="H39">
        <v>12.33</v>
      </c>
    </row>
    <row r="40" spans="1:8">
      <c r="A40">
        <v>39</v>
      </c>
      <c r="B40">
        <v>2023</v>
      </c>
      <c r="C40" t="s">
        <v>50</v>
      </c>
      <c r="D40" t="s">
        <v>514</v>
      </c>
      <c r="E40">
        <v>4</v>
      </c>
      <c r="F40">
        <v>31</v>
      </c>
      <c r="G40">
        <v>2</v>
      </c>
      <c r="H40">
        <v>7.75</v>
      </c>
    </row>
    <row r="41" spans="1:8">
      <c r="A41">
        <v>40</v>
      </c>
      <c r="B41">
        <v>2023</v>
      </c>
      <c r="C41" t="s">
        <v>22</v>
      </c>
      <c r="D41" t="s">
        <v>512</v>
      </c>
      <c r="E41">
        <v>3</v>
      </c>
      <c r="F41">
        <v>25</v>
      </c>
      <c r="G41">
        <v>2</v>
      </c>
      <c r="H41">
        <v>8.33</v>
      </c>
    </row>
    <row r="42" spans="1:8">
      <c r="A42">
        <v>41</v>
      </c>
      <c r="B42">
        <v>2024</v>
      </c>
      <c r="C42" t="s">
        <v>14</v>
      </c>
      <c r="D42" t="s">
        <v>507</v>
      </c>
      <c r="E42">
        <v>3</v>
      </c>
      <c r="F42">
        <v>43</v>
      </c>
      <c r="G42">
        <v>1</v>
      </c>
      <c r="H42">
        <v>14.33</v>
      </c>
    </row>
    <row r="43" spans="1:8">
      <c r="A43">
        <v>42</v>
      </c>
      <c r="B43">
        <v>2025</v>
      </c>
      <c r="C43" t="s">
        <v>21</v>
      </c>
      <c r="D43" t="s">
        <v>514</v>
      </c>
      <c r="E43">
        <v>4</v>
      </c>
      <c r="F43">
        <v>49</v>
      </c>
      <c r="G43">
        <v>3</v>
      </c>
      <c r="H43">
        <v>12.25</v>
      </c>
    </row>
    <row r="44" spans="1:8">
      <c r="A44">
        <v>43</v>
      </c>
      <c r="B44">
        <v>2025</v>
      </c>
      <c r="C44" t="s">
        <v>21</v>
      </c>
      <c r="D44" t="s">
        <v>509</v>
      </c>
      <c r="E44">
        <v>3</v>
      </c>
      <c r="F44">
        <v>47</v>
      </c>
      <c r="G44">
        <v>0</v>
      </c>
      <c r="H44">
        <v>15.67</v>
      </c>
    </row>
    <row r="45" spans="1:8">
      <c r="A45">
        <v>44</v>
      </c>
      <c r="B45">
        <v>2022</v>
      </c>
      <c r="C45" t="s">
        <v>21</v>
      </c>
      <c r="D45" t="s">
        <v>516</v>
      </c>
      <c r="E45">
        <v>2</v>
      </c>
      <c r="F45">
        <v>34</v>
      </c>
      <c r="G45">
        <v>2</v>
      </c>
      <c r="H45">
        <v>17</v>
      </c>
    </row>
    <row r="46" spans="1:8">
      <c r="A46">
        <v>45</v>
      </c>
      <c r="B46">
        <v>2021</v>
      </c>
      <c r="C46" t="s">
        <v>21</v>
      </c>
      <c r="D46" t="s">
        <v>514</v>
      </c>
      <c r="E46">
        <v>2</v>
      </c>
      <c r="F46">
        <v>13</v>
      </c>
      <c r="G46">
        <v>3</v>
      </c>
      <c r="H46">
        <v>6.5</v>
      </c>
    </row>
    <row r="47" spans="1:8">
      <c r="A47">
        <v>46</v>
      </c>
      <c r="B47">
        <v>2022</v>
      </c>
      <c r="C47" t="s">
        <v>14</v>
      </c>
      <c r="D47" t="s">
        <v>506</v>
      </c>
      <c r="E47">
        <v>4</v>
      </c>
      <c r="F47">
        <v>50</v>
      </c>
      <c r="G47">
        <v>3</v>
      </c>
      <c r="H47">
        <v>12.5</v>
      </c>
    </row>
    <row r="48" spans="1:8">
      <c r="A48">
        <v>47</v>
      </c>
      <c r="B48">
        <v>2023</v>
      </c>
      <c r="C48" t="s">
        <v>21</v>
      </c>
      <c r="D48" t="s">
        <v>512</v>
      </c>
      <c r="E48">
        <v>4</v>
      </c>
      <c r="F48">
        <v>13</v>
      </c>
      <c r="G48">
        <v>4</v>
      </c>
      <c r="H48">
        <v>3.25</v>
      </c>
    </row>
    <row r="49" spans="1:8">
      <c r="A49">
        <v>48</v>
      </c>
      <c r="B49">
        <v>2023</v>
      </c>
      <c r="C49" t="s">
        <v>14</v>
      </c>
      <c r="D49" t="s">
        <v>506</v>
      </c>
      <c r="E49">
        <v>3</v>
      </c>
      <c r="F49">
        <v>35</v>
      </c>
      <c r="G49">
        <v>0</v>
      </c>
      <c r="H49">
        <v>11.67</v>
      </c>
    </row>
    <row r="50" spans="1:8">
      <c r="A50">
        <v>49</v>
      </c>
      <c r="B50">
        <v>2024</v>
      </c>
      <c r="C50" t="s">
        <v>50</v>
      </c>
      <c r="D50" t="s">
        <v>514</v>
      </c>
      <c r="E50">
        <v>3</v>
      </c>
      <c r="F50">
        <v>24</v>
      </c>
      <c r="G50">
        <v>4</v>
      </c>
      <c r="H50">
        <v>8</v>
      </c>
    </row>
    <row r="51" spans="1:8">
      <c r="A51">
        <v>50</v>
      </c>
      <c r="B51">
        <v>2021</v>
      </c>
      <c r="C51" t="s">
        <v>50</v>
      </c>
      <c r="D51" t="s">
        <v>516</v>
      </c>
      <c r="E51">
        <v>3</v>
      </c>
      <c r="F51">
        <v>34</v>
      </c>
      <c r="G51">
        <v>3</v>
      </c>
      <c r="H51">
        <v>11.33</v>
      </c>
    </row>
    <row r="52" spans="1:8">
      <c r="A52">
        <v>51</v>
      </c>
      <c r="B52">
        <v>2025</v>
      </c>
      <c r="C52" t="s">
        <v>32</v>
      </c>
      <c r="D52" t="s">
        <v>511</v>
      </c>
      <c r="E52">
        <v>4</v>
      </c>
      <c r="F52">
        <v>49</v>
      </c>
      <c r="G52">
        <v>0</v>
      </c>
      <c r="H52">
        <v>12.25</v>
      </c>
    </row>
    <row r="53" spans="1:8">
      <c r="A53">
        <v>52</v>
      </c>
      <c r="B53">
        <v>2024</v>
      </c>
      <c r="C53" t="s">
        <v>56</v>
      </c>
      <c r="D53" t="s">
        <v>509</v>
      </c>
      <c r="E53">
        <v>4</v>
      </c>
      <c r="F53">
        <v>11</v>
      </c>
      <c r="G53">
        <v>3</v>
      </c>
      <c r="H53">
        <v>2.75</v>
      </c>
    </row>
    <row r="54" spans="1:8">
      <c r="A54">
        <v>53</v>
      </c>
      <c r="B54">
        <v>2024</v>
      </c>
      <c r="C54" t="s">
        <v>36</v>
      </c>
      <c r="D54" t="s">
        <v>513</v>
      </c>
      <c r="E54">
        <v>4</v>
      </c>
      <c r="F54">
        <v>22</v>
      </c>
      <c r="G54">
        <v>0</v>
      </c>
      <c r="H54">
        <v>5.5</v>
      </c>
    </row>
    <row r="55" spans="1:8">
      <c r="A55">
        <v>54</v>
      </c>
      <c r="B55">
        <v>2024</v>
      </c>
      <c r="C55" t="s">
        <v>21</v>
      </c>
      <c r="D55" t="s">
        <v>516</v>
      </c>
      <c r="E55">
        <v>4</v>
      </c>
      <c r="F55">
        <v>14</v>
      </c>
      <c r="G55">
        <v>4</v>
      </c>
      <c r="H55">
        <v>3.5</v>
      </c>
    </row>
    <row r="56" spans="1:8">
      <c r="A56">
        <v>55</v>
      </c>
      <c r="B56">
        <v>2021</v>
      </c>
      <c r="C56" t="s">
        <v>22</v>
      </c>
      <c r="D56" t="s">
        <v>511</v>
      </c>
      <c r="E56">
        <v>4</v>
      </c>
      <c r="F56">
        <v>18</v>
      </c>
      <c r="G56">
        <v>5</v>
      </c>
      <c r="H56">
        <v>4.5</v>
      </c>
    </row>
    <row r="57" spans="1:8">
      <c r="A57">
        <v>56</v>
      </c>
      <c r="B57">
        <v>2021</v>
      </c>
      <c r="C57" t="s">
        <v>36</v>
      </c>
      <c r="D57" t="s">
        <v>506</v>
      </c>
      <c r="E57">
        <v>3</v>
      </c>
      <c r="F57">
        <v>36</v>
      </c>
      <c r="G57">
        <v>3</v>
      </c>
      <c r="H57">
        <v>12</v>
      </c>
    </row>
    <row r="58" spans="1:8">
      <c r="A58">
        <v>57</v>
      </c>
      <c r="B58">
        <v>2021</v>
      </c>
      <c r="C58" t="s">
        <v>50</v>
      </c>
      <c r="D58" t="s">
        <v>515</v>
      </c>
      <c r="E58">
        <v>2</v>
      </c>
      <c r="F58">
        <v>25</v>
      </c>
      <c r="G58">
        <v>1</v>
      </c>
      <c r="H58">
        <v>12.5</v>
      </c>
    </row>
    <row r="59" spans="1:8">
      <c r="A59">
        <v>58</v>
      </c>
      <c r="B59">
        <v>2023</v>
      </c>
      <c r="C59" t="s">
        <v>14</v>
      </c>
      <c r="D59" t="s">
        <v>516</v>
      </c>
      <c r="E59">
        <v>2</v>
      </c>
      <c r="F59">
        <v>29</v>
      </c>
      <c r="G59">
        <v>4</v>
      </c>
      <c r="H59">
        <v>14.5</v>
      </c>
    </row>
    <row r="60" spans="1:8">
      <c r="A60">
        <v>59</v>
      </c>
      <c r="B60">
        <v>2024</v>
      </c>
      <c r="C60" t="s">
        <v>32</v>
      </c>
      <c r="D60" t="s">
        <v>517</v>
      </c>
      <c r="E60">
        <v>4</v>
      </c>
      <c r="F60">
        <v>32</v>
      </c>
      <c r="G60">
        <v>2</v>
      </c>
      <c r="H60">
        <v>8</v>
      </c>
    </row>
    <row r="61" spans="1:8">
      <c r="A61">
        <v>60</v>
      </c>
      <c r="B61">
        <v>2023</v>
      </c>
      <c r="C61" t="s">
        <v>50</v>
      </c>
      <c r="D61" t="s">
        <v>511</v>
      </c>
      <c r="E61">
        <v>4</v>
      </c>
      <c r="F61">
        <v>19</v>
      </c>
      <c r="G61">
        <v>1</v>
      </c>
      <c r="H61">
        <v>4.75</v>
      </c>
    </row>
    <row r="62" spans="1:8">
      <c r="A62">
        <v>61</v>
      </c>
      <c r="B62">
        <v>2021</v>
      </c>
      <c r="C62" t="s">
        <v>47</v>
      </c>
      <c r="D62" t="s">
        <v>506</v>
      </c>
      <c r="E62">
        <v>4</v>
      </c>
      <c r="F62">
        <v>31</v>
      </c>
      <c r="G62">
        <v>2</v>
      </c>
      <c r="H62">
        <v>7.75</v>
      </c>
    </row>
    <row r="63" spans="1:8">
      <c r="A63">
        <v>62</v>
      </c>
      <c r="B63">
        <v>2024</v>
      </c>
      <c r="C63" t="s">
        <v>56</v>
      </c>
      <c r="D63" t="s">
        <v>516</v>
      </c>
      <c r="E63">
        <v>4</v>
      </c>
      <c r="F63">
        <v>47</v>
      </c>
      <c r="G63">
        <v>5</v>
      </c>
      <c r="H63">
        <v>11.75</v>
      </c>
    </row>
    <row r="64" spans="1:8">
      <c r="A64">
        <v>63</v>
      </c>
      <c r="B64">
        <v>2022</v>
      </c>
      <c r="C64" t="s">
        <v>27</v>
      </c>
      <c r="D64" t="s">
        <v>516</v>
      </c>
      <c r="E64">
        <v>2</v>
      </c>
      <c r="F64">
        <v>42</v>
      </c>
      <c r="G64">
        <v>4</v>
      </c>
      <c r="H64">
        <v>21</v>
      </c>
    </row>
    <row r="65" spans="1:8">
      <c r="A65">
        <v>64</v>
      </c>
      <c r="B65">
        <v>2023</v>
      </c>
      <c r="C65" t="s">
        <v>14</v>
      </c>
      <c r="D65" t="s">
        <v>518</v>
      </c>
      <c r="E65">
        <v>3</v>
      </c>
      <c r="F65">
        <v>22</v>
      </c>
      <c r="G65">
        <v>1</v>
      </c>
      <c r="H65">
        <v>7.33</v>
      </c>
    </row>
    <row r="66" spans="1:8">
      <c r="A66">
        <v>65</v>
      </c>
      <c r="B66">
        <v>2023</v>
      </c>
      <c r="C66" t="s">
        <v>22</v>
      </c>
      <c r="D66" t="s">
        <v>514</v>
      </c>
      <c r="E66">
        <v>2</v>
      </c>
      <c r="F66">
        <v>31</v>
      </c>
      <c r="G66">
        <v>1</v>
      </c>
      <c r="H66">
        <v>15.5</v>
      </c>
    </row>
    <row r="67" spans="1:8">
      <c r="A67">
        <v>66</v>
      </c>
      <c r="B67">
        <v>2025</v>
      </c>
      <c r="C67" t="s">
        <v>47</v>
      </c>
      <c r="D67" t="s">
        <v>41</v>
      </c>
      <c r="E67">
        <v>4</v>
      </c>
      <c r="F67">
        <v>39</v>
      </c>
      <c r="G67">
        <v>4</v>
      </c>
      <c r="H67">
        <v>9.75</v>
      </c>
    </row>
    <row r="68" spans="1:8">
      <c r="A68">
        <v>67</v>
      </c>
      <c r="B68">
        <v>2022</v>
      </c>
      <c r="C68" t="s">
        <v>56</v>
      </c>
      <c r="D68" t="s">
        <v>507</v>
      </c>
      <c r="E68">
        <v>4</v>
      </c>
      <c r="F68">
        <v>46</v>
      </c>
      <c r="G68">
        <v>2</v>
      </c>
      <c r="H68">
        <v>11.5</v>
      </c>
    </row>
    <row r="69" spans="1:8">
      <c r="A69">
        <v>68</v>
      </c>
      <c r="B69">
        <v>2022</v>
      </c>
      <c r="C69" t="s">
        <v>50</v>
      </c>
      <c r="D69" t="s">
        <v>506</v>
      </c>
      <c r="E69">
        <v>3</v>
      </c>
      <c r="F69">
        <v>31</v>
      </c>
      <c r="G69">
        <v>1</v>
      </c>
      <c r="H69">
        <v>10.33</v>
      </c>
    </row>
    <row r="70" spans="1:8">
      <c r="A70">
        <v>69</v>
      </c>
      <c r="B70">
        <v>2023</v>
      </c>
      <c r="C70" t="s">
        <v>21</v>
      </c>
      <c r="D70" t="s">
        <v>515</v>
      </c>
      <c r="E70">
        <v>2</v>
      </c>
      <c r="F70">
        <v>41</v>
      </c>
      <c r="G70">
        <v>1</v>
      </c>
      <c r="H70">
        <v>20.5</v>
      </c>
    </row>
    <row r="71" spans="1:8">
      <c r="A71">
        <v>70</v>
      </c>
      <c r="B71">
        <v>2025</v>
      </c>
      <c r="C71" t="s">
        <v>14</v>
      </c>
      <c r="D71" t="s">
        <v>509</v>
      </c>
      <c r="E71">
        <v>2</v>
      </c>
      <c r="F71">
        <v>24</v>
      </c>
      <c r="G71">
        <v>3</v>
      </c>
      <c r="H71">
        <v>12</v>
      </c>
    </row>
    <row r="72" spans="1:8">
      <c r="A72">
        <v>71</v>
      </c>
      <c r="B72">
        <v>2024</v>
      </c>
      <c r="C72" t="s">
        <v>50</v>
      </c>
      <c r="D72" t="s">
        <v>508</v>
      </c>
      <c r="E72">
        <v>2</v>
      </c>
      <c r="F72">
        <v>40</v>
      </c>
      <c r="G72">
        <v>5</v>
      </c>
      <c r="H72">
        <v>20</v>
      </c>
    </row>
    <row r="73" spans="1:8">
      <c r="A73">
        <v>72</v>
      </c>
      <c r="B73">
        <v>2022</v>
      </c>
      <c r="C73" t="s">
        <v>56</v>
      </c>
      <c r="D73" t="s">
        <v>514</v>
      </c>
      <c r="E73">
        <v>4</v>
      </c>
      <c r="F73">
        <v>34</v>
      </c>
      <c r="G73">
        <v>1</v>
      </c>
      <c r="H73">
        <v>8.5</v>
      </c>
    </row>
    <row r="74" spans="1:8">
      <c r="A74">
        <v>73</v>
      </c>
      <c r="B74">
        <v>2024</v>
      </c>
      <c r="C74" t="s">
        <v>32</v>
      </c>
      <c r="D74" t="s">
        <v>505</v>
      </c>
      <c r="E74">
        <v>2</v>
      </c>
      <c r="F74">
        <v>33</v>
      </c>
      <c r="G74">
        <v>0</v>
      </c>
      <c r="H74">
        <v>16.5</v>
      </c>
    </row>
    <row r="75" spans="1:8">
      <c r="A75">
        <v>74</v>
      </c>
      <c r="B75">
        <v>2022</v>
      </c>
      <c r="C75" t="s">
        <v>21</v>
      </c>
      <c r="D75" t="s">
        <v>513</v>
      </c>
      <c r="E75">
        <v>2</v>
      </c>
      <c r="F75">
        <v>45</v>
      </c>
      <c r="G75">
        <v>0</v>
      </c>
      <c r="H75">
        <v>22.5</v>
      </c>
    </row>
    <row r="76" spans="1:8">
      <c r="A76">
        <v>75</v>
      </c>
      <c r="B76">
        <v>2022</v>
      </c>
      <c r="C76" t="s">
        <v>27</v>
      </c>
      <c r="D76" t="s">
        <v>506</v>
      </c>
      <c r="E76">
        <v>3</v>
      </c>
      <c r="F76">
        <v>22</v>
      </c>
      <c r="G76">
        <v>5</v>
      </c>
      <c r="H76">
        <v>7.33</v>
      </c>
    </row>
    <row r="77" spans="1:8">
      <c r="A77">
        <v>76</v>
      </c>
      <c r="B77">
        <v>2024</v>
      </c>
      <c r="C77" t="s">
        <v>50</v>
      </c>
      <c r="D77" t="s">
        <v>511</v>
      </c>
      <c r="E77">
        <v>3</v>
      </c>
      <c r="F77">
        <v>12</v>
      </c>
      <c r="G77">
        <v>0</v>
      </c>
      <c r="H77">
        <v>4</v>
      </c>
    </row>
    <row r="78" spans="1:8">
      <c r="A78">
        <v>77</v>
      </c>
      <c r="B78">
        <v>2025</v>
      </c>
      <c r="C78" t="s">
        <v>22</v>
      </c>
      <c r="D78" t="s">
        <v>508</v>
      </c>
      <c r="E78">
        <v>3</v>
      </c>
      <c r="F78">
        <v>21</v>
      </c>
      <c r="G78">
        <v>1</v>
      </c>
      <c r="H78">
        <v>7</v>
      </c>
    </row>
    <row r="79" spans="1:8">
      <c r="A79">
        <v>78</v>
      </c>
      <c r="B79">
        <v>2024</v>
      </c>
      <c r="C79" t="s">
        <v>15</v>
      </c>
      <c r="D79" t="s">
        <v>41</v>
      </c>
      <c r="E79">
        <v>2</v>
      </c>
      <c r="F79">
        <v>31</v>
      </c>
      <c r="G79">
        <v>4</v>
      </c>
      <c r="H79">
        <v>15.5</v>
      </c>
    </row>
    <row r="80" spans="1:8">
      <c r="A80">
        <v>79</v>
      </c>
      <c r="B80">
        <v>2024</v>
      </c>
      <c r="C80" t="s">
        <v>22</v>
      </c>
      <c r="D80" t="s">
        <v>505</v>
      </c>
      <c r="E80">
        <v>2</v>
      </c>
      <c r="F80">
        <v>11</v>
      </c>
      <c r="G80">
        <v>1</v>
      </c>
      <c r="H80">
        <v>5.5</v>
      </c>
    </row>
    <row r="81" spans="1:8">
      <c r="A81">
        <v>80</v>
      </c>
      <c r="B81">
        <v>2024</v>
      </c>
      <c r="C81" t="s">
        <v>15</v>
      </c>
      <c r="D81" t="s">
        <v>511</v>
      </c>
      <c r="E81">
        <v>2</v>
      </c>
      <c r="F81">
        <v>11</v>
      </c>
      <c r="G81">
        <v>5</v>
      </c>
      <c r="H81">
        <v>5.5</v>
      </c>
    </row>
    <row r="82" spans="1:8">
      <c r="A82">
        <v>81</v>
      </c>
      <c r="B82">
        <v>2024</v>
      </c>
      <c r="C82" t="s">
        <v>27</v>
      </c>
      <c r="D82" t="s">
        <v>518</v>
      </c>
      <c r="E82">
        <v>4</v>
      </c>
      <c r="F82">
        <v>17</v>
      </c>
      <c r="G82">
        <v>2</v>
      </c>
      <c r="H82">
        <v>4.25</v>
      </c>
    </row>
    <row r="83" spans="1:8">
      <c r="A83">
        <v>82</v>
      </c>
      <c r="B83">
        <v>2025</v>
      </c>
      <c r="C83" t="s">
        <v>22</v>
      </c>
      <c r="D83" t="s">
        <v>506</v>
      </c>
      <c r="E83">
        <v>3</v>
      </c>
      <c r="F83">
        <v>25</v>
      </c>
      <c r="G83">
        <v>2</v>
      </c>
      <c r="H83">
        <v>8.33</v>
      </c>
    </row>
    <row r="84" spans="1:8">
      <c r="A84">
        <v>83</v>
      </c>
      <c r="B84">
        <v>2021</v>
      </c>
      <c r="C84" t="s">
        <v>56</v>
      </c>
      <c r="D84" t="s">
        <v>509</v>
      </c>
      <c r="E84">
        <v>2</v>
      </c>
      <c r="F84">
        <v>43</v>
      </c>
      <c r="G84">
        <v>4</v>
      </c>
      <c r="H84">
        <v>21.5</v>
      </c>
    </row>
    <row r="85" spans="1:8">
      <c r="A85">
        <v>84</v>
      </c>
      <c r="B85">
        <v>2022</v>
      </c>
      <c r="C85" t="s">
        <v>32</v>
      </c>
      <c r="D85" t="s">
        <v>511</v>
      </c>
      <c r="E85">
        <v>4</v>
      </c>
      <c r="F85">
        <v>14</v>
      </c>
      <c r="G85">
        <v>0</v>
      </c>
      <c r="H85">
        <v>3.5</v>
      </c>
    </row>
    <row r="86" spans="1:8">
      <c r="A86">
        <v>85</v>
      </c>
      <c r="B86">
        <v>2021</v>
      </c>
      <c r="C86" t="s">
        <v>27</v>
      </c>
      <c r="D86" t="s">
        <v>511</v>
      </c>
      <c r="E86">
        <v>2</v>
      </c>
      <c r="F86">
        <v>22</v>
      </c>
      <c r="G86">
        <v>1</v>
      </c>
      <c r="H86">
        <v>11</v>
      </c>
    </row>
    <row r="87" spans="1:8">
      <c r="A87">
        <v>86</v>
      </c>
      <c r="B87">
        <v>2025</v>
      </c>
      <c r="C87" t="s">
        <v>36</v>
      </c>
      <c r="D87" t="s">
        <v>518</v>
      </c>
      <c r="E87">
        <v>4</v>
      </c>
      <c r="F87">
        <v>33</v>
      </c>
      <c r="G87">
        <v>2</v>
      </c>
      <c r="H87">
        <v>8.25</v>
      </c>
    </row>
    <row r="88" spans="1:8">
      <c r="A88">
        <v>87</v>
      </c>
      <c r="B88">
        <v>2023</v>
      </c>
      <c r="C88" t="s">
        <v>50</v>
      </c>
      <c r="D88" t="s">
        <v>518</v>
      </c>
      <c r="E88">
        <v>4</v>
      </c>
      <c r="F88">
        <v>25</v>
      </c>
      <c r="G88">
        <v>0</v>
      </c>
      <c r="H88">
        <v>6.25</v>
      </c>
    </row>
    <row r="89" spans="1:8">
      <c r="A89">
        <v>88</v>
      </c>
      <c r="B89">
        <v>2021</v>
      </c>
      <c r="C89" t="s">
        <v>50</v>
      </c>
      <c r="D89" t="s">
        <v>510</v>
      </c>
      <c r="E89">
        <v>2</v>
      </c>
      <c r="F89">
        <v>44</v>
      </c>
      <c r="G89">
        <v>2</v>
      </c>
      <c r="H89">
        <v>22</v>
      </c>
    </row>
    <row r="90" spans="1:8">
      <c r="A90">
        <v>89</v>
      </c>
      <c r="B90">
        <v>2023</v>
      </c>
      <c r="C90" t="s">
        <v>27</v>
      </c>
      <c r="D90" t="s">
        <v>513</v>
      </c>
      <c r="E90">
        <v>2</v>
      </c>
      <c r="F90">
        <v>13</v>
      </c>
      <c r="G90">
        <v>5</v>
      </c>
      <c r="H90">
        <v>6.5</v>
      </c>
    </row>
    <row r="91" spans="1:8">
      <c r="A91">
        <v>90</v>
      </c>
      <c r="B91">
        <v>2021</v>
      </c>
      <c r="C91" t="s">
        <v>15</v>
      </c>
      <c r="D91" t="s">
        <v>507</v>
      </c>
      <c r="E91">
        <v>2</v>
      </c>
      <c r="F91">
        <v>42</v>
      </c>
      <c r="G91">
        <v>4</v>
      </c>
      <c r="H91">
        <v>21</v>
      </c>
    </row>
    <row r="92" spans="1:8">
      <c r="A92">
        <v>91</v>
      </c>
      <c r="B92">
        <v>2023</v>
      </c>
      <c r="C92" t="s">
        <v>47</v>
      </c>
      <c r="D92" t="s">
        <v>508</v>
      </c>
      <c r="E92">
        <v>4</v>
      </c>
      <c r="F92">
        <v>15</v>
      </c>
      <c r="G92">
        <v>3</v>
      </c>
      <c r="H92">
        <v>3.75</v>
      </c>
    </row>
    <row r="93" spans="1:8">
      <c r="A93">
        <v>92</v>
      </c>
      <c r="B93">
        <v>2025</v>
      </c>
      <c r="C93" t="s">
        <v>50</v>
      </c>
      <c r="D93" t="s">
        <v>512</v>
      </c>
      <c r="E93">
        <v>2</v>
      </c>
      <c r="F93">
        <v>42</v>
      </c>
      <c r="G93">
        <v>3</v>
      </c>
      <c r="H93">
        <v>21</v>
      </c>
    </row>
    <row r="94" spans="1:8">
      <c r="A94">
        <v>93</v>
      </c>
      <c r="B94">
        <v>2025</v>
      </c>
      <c r="C94" t="s">
        <v>36</v>
      </c>
      <c r="D94" t="s">
        <v>513</v>
      </c>
      <c r="E94">
        <v>3</v>
      </c>
      <c r="F94">
        <v>43</v>
      </c>
      <c r="G94">
        <v>3</v>
      </c>
      <c r="H94">
        <v>14.33</v>
      </c>
    </row>
    <row r="95" spans="1:8">
      <c r="A95">
        <v>94</v>
      </c>
      <c r="B95">
        <v>2025</v>
      </c>
      <c r="C95" t="s">
        <v>27</v>
      </c>
      <c r="D95" t="s">
        <v>513</v>
      </c>
      <c r="E95">
        <v>4</v>
      </c>
      <c r="F95">
        <v>33</v>
      </c>
      <c r="G95">
        <v>4</v>
      </c>
      <c r="H95">
        <v>8.25</v>
      </c>
    </row>
    <row r="96" spans="1:8">
      <c r="A96">
        <v>95</v>
      </c>
      <c r="B96">
        <v>2024</v>
      </c>
      <c r="C96" t="s">
        <v>47</v>
      </c>
      <c r="D96" t="s">
        <v>41</v>
      </c>
      <c r="E96">
        <v>3</v>
      </c>
      <c r="F96">
        <v>40</v>
      </c>
      <c r="G96">
        <v>2</v>
      </c>
      <c r="H96">
        <v>13.33</v>
      </c>
    </row>
    <row r="97" spans="1:8">
      <c r="A97">
        <v>96</v>
      </c>
      <c r="B97">
        <v>2024</v>
      </c>
      <c r="C97" t="s">
        <v>50</v>
      </c>
      <c r="D97" t="s">
        <v>518</v>
      </c>
      <c r="E97">
        <v>4</v>
      </c>
      <c r="F97">
        <v>47</v>
      </c>
      <c r="G97">
        <v>5</v>
      </c>
      <c r="H97">
        <v>11.75</v>
      </c>
    </row>
    <row r="98" spans="1:8">
      <c r="A98">
        <v>97</v>
      </c>
      <c r="B98">
        <v>2023</v>
      </c>
      <c r="C98" t="s">
        <v>14</v>
      </c>
      <c r="D98" t="s">
        <v>508</v>
      </c>
      <c r="E98">
        <v>2</v>
      </c>
      <c r="F98">
        <v>22</v>
      </c>
      <c r="G98">
        <v>3</v>
      </c>
      <c r="H98">
        <v>11</v>
      </c>
    </row>
    <row r="99" spans="1:8">
      <c r="A99">
        <v>98</v>
      </c>
      <c r="B99">
        <v>2023</v>
      </c>
      <c r="C99" t="s">
        <v>22</v>
      </c>
      <c r="D99" t="s">
        <v>518</v>
      </c>
      <c r="E99">
        <v>2</v>
      </c>
      <c r="F99">
        <v>29</v>
      </c>
      <c r="G99">
        <v>3</v>
      </c>
      <c r="H99">
        <v>14.5</v>
      </c>
    </row>
    <row r="100" spans="1:8">
      <c r="A100">
        <v>99</v>
      </c>
      <c r="B100">
        <v>2024</v>
      </c>
      <c r="C100" t="s">
        <v>32</v>
      </c>
      <c r="D100" t="s">
        <v>510</v>
      </c>
      <c r="E100">
        <v>2</v>
      </c>
      <c r="F100">
        <v>33</v>
      </c>
      <c r="G100">
        <v>2</v>
      </c>
      <c r="H100">
        <v>16.5</v>
      </c>
    </row>
    <row r="101" spans="1:8">
      <c r="A101">
        <v>100</v>
      </c>
      <c r="B101">
        <v>2025</v>
      </c>
      <c r="C101" t="s">
        <v>36</v>
      </c>
      <c r="D101" t="s">
        <v>512</v>
      </c>
      <c r="E101">
        <v>2</v>
      </c>
      <c r="F101">
        <v>15</v>
      </c>
      <c r="G101">
        <v>2</v>
      </c>
      <c r="H101">
        <v>7.5</v>
      </c>
    </row>
    <row r="102" spans="1:8">
      <c r="A102">
        <v>101</v>
      </c>
      <c r="B102">
        <v>2023</v>
      </c>
      <c r="C102" t="s">
        <v>47</v>
      </c>
      <c r="D102" t="s">
        <v>517</v>
      </c>
      <c r="E102">
        <v>3</v>
      </c>
      <c r="F102">
        <v>24</v>
      </c>
      <c r="G102">
        <v>4</v>
      </c>
      <c r="H102">
        <v>8</v>
      </c>
    </row>
    <row r="103" spans="1:8">
      <c r="A103">
        <v>102</v>
      </c>
      <c r="B103">
        <v>2025</v>
      </c>
      <c r="C103" t="s">
        <v>14</v>
      </c>
      <c r="D103" t="s">
        <v>515</v>
      </c>
      <c r="E103">
        <v>4</v>
      </c>
      <c r="F103">
        <v>49</v>
      </c>
      <c r="G103">
        <v>2</v>
      </c>
      <c r="H103">
        <v>12.25</v>
      </c>
    </row>
    <row r="104" spans="1:8">
      <c r="A104">
        <v>103</v>
      </c>
      <c r="B104">
        <v>2024</v>
      </c>
      <c r="C104" t="s">
        <v>32</v>
      </c>
      <c r="D104" t="s">
        <v>515</v>
      </c>
      <c r="E104">
        <v>3</v>
      </c>
      <c r="F104">
        <v>37</v>
      </c>
      <c r="G104">
        <v>3</v>
      </c>
      <c r="H104">
        <v>12.33</v>
      </c>
    </row>
    <row r="105" spans="1:8">
      <c r="A105">
        <v>104</v>
      </c>
      <c r="B105">
        <v>2022</v>
      </c>
      <c r="C105" t="s">
        <v>56</v>
      </c>
      <c r="D105" t="s">
        <v>514</v>
      </c>
      <c r="E105">
        <v>3</v>
      </c>
      <c r="F105">
        <v>30</v>
      </c>
      <c r="G105">
        <v>2</v>
      </c>
      <c r="H105">
        <v>10</v>
      </c>
    </row>
    <row r="106" spans="1:8">
      <c r="A106">
        <v>105</v>
      </c>
      <c r="B106">
        <v>2022</v>
      </c>
      <c r="C106" t="s">
        <v>32</v>
      </c>
      <c r="D106" t="s">
        <v>516</v>
      </c>
      <c r="E106">
        <v>2</v>
      </c>
      <c r="F106">
        <v>38</v>
      </c>
      <c r="G106">
        <v>1</v>
      </c>
      <c r="H106">
        <v>19</v>
      </c>
    </row>
    <row r="107" spans="1:8">
      <c r="A107">
        <v>106</v>
      </c>
      <c r="B107">
        <v>2024</v>
      </c>
      <c r="C107" t="s">
        <v>15</v>
      </c>
      <c r="D107" t="s">
        <v>509</v>
      </c>
      <c r="E107">
        <v>2</v>
      </c>
      <c r="F107">
        <v>32</v>
      </c>
      <c r="G107">
        <v>0</v>
      </c>
      <c r="H107">
        <v>16</v>
      </c>
    </row>
    <row r="108" spans="1:8">
      <c r="A108">
        <v>107</v>
      </c>
      <c r="B108">
        <v>2021</v>
      </c>
      <c r="C108" t="s">
        <v>15</v>
      </c>
      <c r="D108" t="s">
        <v>507</v>
      </c>
      <c r="E108">
        <v>4</v>
      </c>
      <c r="F108">
        <v>42</v>
      </c>
      <c r="G108">
        <v>4</v>
      </c>
      <c r="H108">
        <v>10.5</v>
      </c>
    </row>
    <row r="109" spans="1:8">
      <c r="A109">
        <v>108</v>
      </c>
      <c r="B109">
        <v>2025</v>
      </c>
      <c r="C109" t="s">
        <v>21</v>
      </c>
      <c r="D109" t="s">
        <v>514</v>
      </c>
      <c r="E109">
        <v>3</v>
      </c>
      <c r="F109">
        <v>24</v>
      </c>
      <c r="G109">
        <v>0</v>
      </c>
      <c r="H109">
        <v>8</v>
      </c>
    </row>
    <row r="110" spans="1:8">
      <c r="A110">
        <v>109</v>
      </c>
      <c r="B110">
        <v>2021</v>
      </c>
      <c r="C110" t="s">
        <v>21</v>
      </c>
      <c r="D110" t="s">
        <v>512</v>
      </c>
      <c r="E110">
        <v>3</v>
      </c>
      <c r="F110">
        <v>12</v>
      </c>
      <c r="G110">
        <v>4</v>
      </c>
      <c r="H110">
        <v>4</v>
      </c>
    </row>
    <row r="111" spans="1:8">
      <c r="A111">
        <v>110</v>
      </c>
      <c r="B111">
        <v>2024</v>
      </c>
      <c r="C111" t="s">
        <v>22</v>
      </c>
      <c r="D111" t="s">
        <v>513</v>
      </c>
      <c r="E111">
        <v>2</v>
      </c>
      <c r="F111">
        <v>31</v>
      </c>
      <c r="G111">
        <v>2</v>
      </c>
      <c r="H111">
        <v>15.5</v>
      </c>
    </row>
    <row r="112" spans="1:8">
      <c r="A112">
        <v>111</v>
      </c>
      <c r="B112">
        <v>2024</v>
      </c>
      <c r="C112" t="s">
        <v>15</v>
      </c>
      <c r="D112" t="s">
        <v>41</v>
      </c>
      <c r="E112">
        <v>4</v>
      </c>
      <c r="F112">
        <v>27</v>
      </c>
      <c r="G112">
        <v>1</v>
      </c>
      <c r="H112">
        <v>6.75</v>
      </c>
    </row>
    <row r="113" spans="1:8">
      <c r="A113">
        <v>112</v>
      </c>
      <c r="B113">
        <v>2023</v>
      </c>
      <c r="C113" t="s">
        <v>50</v>
      </c>
      <c r="D113" t="s">
        <v>505</v>
      </c>
      <c r="E113">
        <v>4</v>
      </c>
      <c r="F113">
        <v>44</v>
      </c>
      <c r="G113">
        <v>2</v>
      </c>
      <c r="H113">
        <v>11</v>
      </c>
    </row>
    <row r="114" spans="1:8">
      <c r="A114">
        <v>113</v>
      </c>
      <c r="B114">
        <v>2023</v>
      </c>
      <c r="C114" t="s">
        <v>14</v>
      </c>
      <c r="D114" t="s">
        <v>514</v>
      </c>
      <c r="E114">
        <v>3</v>
      </c>
      <c r="F114">
        <v>28</v>
      </c>
      <c r="G114">
        <v>2</v>
      </c>
      <c r="H114">
        <v>9.33</v>
      </c>
    </row>
    <row r="115" spans="1:8">
      <c r="A115">
        <v>114</v>
      </c>
      <c r="B115">
        <v>2024</v>
      </c>
      <c r="C115" t="s">
        <v>32</v>
      </c>
      <c r="D115" t="s">
        <v>518</v>
      </c>
      <c r="E115">
        <v>4</v>
      </c>
      <c r="F115">
        <v>10</v>
      </c>
      <c r="G115">
        <v>3</v>
      </c>
      <c r="H115">
        <v>2.5</v>
      </c>
    </row>
    <row r="116" spans="1:8">
      <c r="A116">
        <v>115</v>
      </c>
      <c r="B116">
        <v>2022</v>
      </c>
      <c r="C116" t="s">
        <v>36</v>
      </c>
      <c r="D116" t="s">
        <v>514</v>
      </c>
      <c r="E116">
        <v>2</v>
      </c>
      <c r="F116">
        <v>35</v>
      </c>
      <c r="G116">
        <v>1</v>
      </c>
      <c r="H116">
        <v>17.5</v>
      </c>
    </row>
    <row r="117" spans="1:8">
      <c r="A117">
        <v>116</v>
      </c>
      <c r="B117">
        <v>2022</v>
      </c>
      <c r="C117" t="s">
        <v>22</v>
      </c>
      <c r="D117" t="s">
        <v>41</v>
      </c>
      <c r="E117">
        <v>4</v>
      </c>
      <c r="F117">
        <v>23</v>
      </c>
      <c r="G117">
        <v>3</v>
      </c>
      <c r="H117">
        <v>5.75</v>
      </c>
    </row>
    <row r="118" spans="1:8">
      <c r="A118">
        <v>117</v>
      </c>
      <c r="B118">
        <v>2023</v>
      </c>
      <c r="C118" t="s">
        <v>22</v>
      </c>
      <c r="D118" t="s">
        <v>517</v>
      </c>
      <c r="E118">
        <v>4</v>
      </c>
      <c r="F118">
        <v>45</v>
      </c>
      <c r="G118">
        <v>3</v>
      </c>
      <c r="H118">
        <v>11.25</v>
      </c>
    </row>
    <row r="119" spans="1:8">
      <c r="A119">
        <v>118</v>
      </c>
      <c r="B119">
        <v>2021</v>
      </c>
      <c r="C119" t="s">
        <v>47</v>
      </c>
      <c r="D119" t="s">
        <v>513</v>
      </c>
      <c r="E119">
        <v>2</v>
      </c>
      <c r="F119">
        <v>30</v>
      </c>
      <c r="G119">
        <v>1</v>
      </c>
      <c r="H119">
        <v>15</v>
      </c>
    </row>
    <row r="120" spans="1:8">
      <c r="A120">
        <v>119</v>
      </c>
      <c r="B120">
        <v>2023</v>
      </c>
      <c r="C120" t="s">
        <v>32</v>
      </c>
      <c r="D120" t="s">
        <v>514</v>
      </c>
      <c r="E120">
        <v>4</v>
      </c>
      <c r="F120">
        <v>36</v>
      </c>
      <c r="G120">
        <v>1</v>
      </c>
      <c r="H120">
        <v>9</v>
      </c>
    </row>
    <row r="121" spans="1:8">
      <c r="A121">
        <v>120</v>
      </c>
      <c r="B121">
        <v>2024</v>
      </c>
      <c r="C121" t="s">
        <v>47</v>
      </c>
      <c r="D121" t="s">
        <v>515</v>
      </c>
      <c r="E121">
        <v>4</v>
      </c>
      <c r="F121">
        <v>11</v>
      </c>
      <c r="G121">
        <v>2</v>
      </c>
      <c r="H121">
        <v>2.75</v>
      </c>
    </row>
    <row r="122" spans="1:8">
      <c r="A122">
        <v>121</v>
      </c>
      <c r="B122">
        <v>2021</v>
      </c>
      <c r="C122" t="s">
        <v>27</v>
      </c>
      <c r="D122" t="s">
        <v>510</v>
      </c>
      <c r="E122">
        <v>2</v>
      </c>
      <c r="F122">
        <v>29</v>
      </c>
      <c r="G122">
        <v>5</v>
      </c>
      <c r="H122">
        <v>14.5</v>
      </c>
    </row>
    <row r="123" spans="1:8">
      <c r="A123">
        <v>122</v>
      </c>
      <c r="B123">
        <v>2024</v>
      </c>
      <c r="C123" t="s">
        <v>14</v>
      </c>
      <c r="D123" t="s">
        <v>515</v>
      </c>
      <c r="E123">
        <v>4</v>
      </c>
      <c r="F123">
        <v>32</v>
      </c>
      <c r="G123">
        <v>2</v>
      </c>
      <c r="H123">
        <v>8</v>
      </c>
    </row>
    <row r="124" spans="1:8">
      <c r="A124">
        <v>123</v>
      </c>
      <c r="B124">
        <v>2023</v>
      </c>
      <c r="C124" t="s">
        <v>22</v>
      </c>
      <c r="D124" t="s">
        <v>518</v>
      </c>
      <c r="E124">
        <v>3</v>
      </c>
      <c r="F124">
        <v>35</v>
      </c>
      <c r="G124">
        <v>5</v>
      </c>
      <c r="H124">
        <v>11.67</v>
      </c>
    </row>
    <row r="125" spans="1:8">
      <c r="A125">
        <v>124</v>
      </c>
      <c r="B125">
        <v>2023</v>
      </c>
      <c r="C125" t="s">
        <v>36</v>
      </c>
      <c r="D125" t="s">
        <v>506</v>
      </c>
      <c r="E125">
        <v>3</v>
      </c>
      <c r="F125">
        <v>47</v>
      </c>
      <c r="G125">
        <v>0</v>
      </c>
      <c r="H125">
        <v>15.67</v>
      </c>
    </row>
    <row r="126" spans="1:8">
      <c r="A126">
        <v>125</v>
      </c>
      <c r="B126">
        <v>2022</v>
      </c>
      <c r="C126" t="s">
        <v>50</v>
      </c>
      <c r="D126" t="s">
        <v>514</v>
      </c>
      <c r="E126">
        <v>2</v>
      </c>
      <c r="F126">
        <v>18</v>
      </c>
      <c r="G126">
        <v>1</v>
      </c>
      <c r="H126">
        <v>9</v>
      </c>
    </row>
    <row r="127" spans="1:8">
      <c r="A127">
        <v>126</v>
      </c>
      <c r="B127">
        <v>2023</v>
      </c>
      <c r="C127" t="s">
        <v>56</v>
      </c>
      <c r="D127" t="s">
        <v>510</v>
      </c>
      <c r="E127">
        <v>4</v>
      </c>
      <c r="F127">
        <v>48</v>
      </c>
      <c r="G127">
        <v>4</v>
      </c>
      <c r="H127">
        <v>12</v>
      </c>
    </row>
    <row r="128" spans="1:8">
      <c r="A128">
        <v>127</v>
      </c>
      <c r="B128">
        <v>2025</v>
      </c>
      <c r="C128" t="s">
        <v>50</v>
      </c>
      <c r="D128" t="s">
        <v>507</v>
      </c>
      <c r="E128">
        <v>3</v>
      </c>
      <c r="F128">
        <v>34</v>
      </c>
      <c r="G128">
        <v>1</v>
      </c>
      <c r="H128">
        <v>11.33</v>
      </c>
    </row>
    <row r="129" spans="1:8">
      <c r="A129">
        <v>128</v>
      </c>
      <c r="B129">
        <v>2021</v>
      </c>
      <c r="C129" t="s">
        <v>32</v>
      </c>
      <c r="D129" t="s">
        <v>512</v>
      </c>
      <c r="E129">
        <v>4</v>
      </c>
      <c r="F129">
        <v>34</v>
      </c>
      <c r="G129">
        <v>1</v>
      </c>
      <c r="H129">
        <v>8.5</v>
      </c>
    </row>
    <row r="130" spans="1:8">
      <c r="A130">
        <v>129</v>
      </c>
      <c r="B130">
        <v>2025</v>
      </c>
      <c r="C130" t="s">
        <v>47</v>
      </c>
      <c r="D130" t="s">
        <v>512</v>
      </c>
      <c r="E130">
        <v>3</v>
      </c>
      <c r="F130">
        <v>46</v>
      </c>
      <c r="G130">
        <v>3</v>
      </c>
      <c r="H130">
        <v>15.33</v>
      </c>
    </row>
    <row r="131" spans="1:8">
      <c r="A131">
        <v>130</v>
      </c>
      <c r="B131">
        <v>2025</v>
      </c>
      <c r="C131" t="s">
        <v>15</v>
      </c>
      <c r="D131" t="s">
        <v>512</v>
      </c>
      <c r="E131">
        <v>2</v>
      </c>
      <c r="F131">
        <v>16</v>
      </c>
      <c r="G131">
        <v>5</v>
      </c>
      <c r="H131">
        <v>8</v>
      </c>
    </row>
    <row r="132" spans="1:8">
      <c r="A132">
        <v>131</v>
      </c>
      <c r="B132">
        <v>2023</v>
      </c>
      <c r="C132" t="s">
        <v>36</v>
      </c>
      <c r="D132" t="s">
        <v>505</v>
      </c>
      <c r="E132">
        <v>2</v>
      </c>
      <c r="F132">
        <v>48</v>
      </c>
      <c r="G132">
        <v>3</v>
      </c>
      <c r="H132">
        <v>24</v>
      </c>
    </row>
    <row r="133" spans="1:8">
      <c r="A133">
        <v>132</v>
      </c>
      <c r="B133">
        <v>2025</v>
      </c>
      <c r="C133" t="s">
        <v>14</v>
      </c>
      <c r="D133" t="s">
        <v>505</v>
      </c>
      <c r="E133">
        <v>2</v>
      </c>
      <c r="F133">
        <v>14</v>
      </c>
      <c r="G133">
        <v>3</v>
      </c>
      <c r="H133">
        <v>7</v>
      </c>
    </row>
    <row r="134" spans="1:8">
      <c r="A134">
        <v>133</v>
      </c>
      <c r="B134">
        <v>2021</v>
      </c>
      <c r="C134" t="s">
        <v>15</v>
      </c>
      <c r="D134" t="s">
        <v>508</v>
      </c>
      <c r="E134">
        <v>2</v>
      </c>
      <c r="F134">
        <v>28</v>
      </c>
      <c r="G134">
        <v>5</v>
      </c>
      <c r="H134">
        <v>14</v>
      </c>
    </row>
    <row r="135" spans="1:8">
      <c r="A135">
        <v>134</v>
      </c>
      <c r="B135">
        <v>2025</v>
      </c>
      <c r="C135" t="s">
        <v>36</v>
      </c>
      <c r="D135" t="s">
        <v>512</v>
      </c>
      <c r="E135">
        <v>3</v>
      </c>
      <c r="F135">
        <v>13</v>
      </c>
      <c r="G135">
        <v>2</v>
      </c>
      <c r="H135">
        <v>4.33</v>
      </c>
    </row>
    <row r="136" spans="1:8">
      <c r="A136">
        <v>135</v>
      </c>
      <c r="B136">
        <v>2024</v>
      </c>
      <c r="C136" t="s">
        <v>36</v>
      </c>
      <c r="D136" t="s">
        <v>516</v>
      </c>
      <c r="E136">
        <v>2</v>
      </c>
      <c r="F136">
        <v>30</v>
      </c>
      <c r="G136">
        <v>3</v>
      </c>
      <c r="H136">
        <v>15</v>
      </c>
    </row>
    <row r="137" spans="1:8">
      <c r="A137">
        <v>136</v>
      </c>
      <c r="B137">
        <v>2025</v>
      </c>
      <c r="C137" t="s">
        <v>32</v>
      </c>
      <c r="D137" t="s">
        <v>505</v>
      </c>
      <c r="E137">
        <v>2</v>
      </c>
      <c r="F137">
        <v>18</v>
      </c>
      <c r="G137">
        <v>4</v>
      </c>
      <c r="H137">
        <v>9</v>
      </c>
    </row>
    <row r="138" spans="1:8">
      <c r="A138">
        <v>137</v>
      </c>
      <c r="B138">
        <v>2025</v>
      </c>
      <c r="C138" t="s">
        <v>32</v>
      </c>
      <c r="D138" t="s">
        <v>515</v>
      </c>
      <c r="E138">
        <v>4</v>
      </c>
      <c r="F138">
        <v>14</v>
      </c>
      <c r="G138">
        <v>3</v>
      </c>
      <c r="H138">
        <v>3.5</v>
      </c>
    </row>
    <row r="139" spans="1:8">
      <c r="A139">
        <v>138</v>
      </c>
      <c r="B139">
        <v>2021</v>
      </c>
      <c r="C139" t="s">
        <v>22</v>
      </c>
      <c r="D139" t="s">
        <v>505</v>
      </c>
      <c r="E139">
        <v>2</v>
      </c>
      <c r="F139">
        <v>29</v>
      </c>
      <c r="G139">
        <v>3</v>
      </c>
      <c r="H139">
        <v>14.5</v>
      </c>
    </row>
    <row r="140" spans="1:8">
      <c r="A140">
        <v>139</v>
      </c>
      <c r="B140">
        <v>2023</v>
      </c>
      <c r="C140" t="s">
        <v>47</v>
      </c>
      <c r="D140" t="s">
        <v>505</v>
      </c>
      <c r="E140">
        <v>4</v>
      </c>
      <c r="F140">
        <v>46</v>
      </c>
      <c r="G140">
        <v>2</v>
      </c>
      <c r="H140">
        <v>11.5</v>
      </c>
    </row>
    <row r="141" spans="1:8">
      <c r="A141">
        <v>140</v>
      </c>
      <c r="B141">
        <v>2022</v>
      </c>
      <c r="C141" t="s">
        <v>50</v>
      </c>
      <c r="D141" t="s">
        <v>508</v>
      </c>
      <c r="E141">
        <v>4</v>
      </c>
      <c r="F141">
        <v>39</v>
      </c>
      <c r="G141">
        <v>2</v>
      </c>
      <c r="H141">
        <v>9.75</v>
      </c>
    </row>
    <row r="142" spans="1:8">
      <c r="A142">
        <v>141</v>
      </c>
      <c r="B142">
        <v>2022</v>
      </c>
      <c r="C142" t="s">
        <v>22</v>
      </c>
      <c r="D142" t="s">
        <v>516</v>
      </c>
      <c r="E142">
        <v>2</v>
      </c>
      <c r="F142">
        <v>38</v>
      </c>
      <c r="G142">
        <v>0</v>
      </c>
      <c r="H142">
        <v>19</v>
      </c>
    </row>
    <row r="143" spans="1:8">
      <c r="A143">
        <v>142</v>
      </c>
      <c r="B143">
        <v>2024</v>
      </c>
      <c r="C143" t="s">
        <v>32</v>
      </c>
      <c r="D143" t="s">
        <v>510</v>
      </c>
      <c r="E143">
        <v>2</v>
      </c>
      <c r="F143">
        <v>43</v>
      </c>
      <c r="G143">
        <v>2</v>
      </c>
      <c r="H143">
        <v>21.5</v>
      </c>
    </row>
    <row r="144" spans="1:8">
      <c r="A144">
        <v>143</v>
      </c>
      <c r="B144">
        <v>2023</v>
      </c>
      <c r="C144" t="s">
        <v>50</v>
      </c>
      <c r="D144" t="s">
        <v>511</v>
      </c>
      <c r="E144">
        <v>3</v>
      </c>
      <c r="F144">
        <v>39</v>
      </c>
      <c r="G144">
        <v>3</v>
      </c>
      <c r="H144">
        <v>13</v>
      </c>
    </row>
    <row r="145" spans="1:8">
      <c r="A145">
        <v>144</v>
      </c>
      <c r="B145">
        <v>2024</v>
      </c>
      <c r="C145" t="s">
        <v>50</v>
      </c>
      <c r="D145" t="s">
        <v>516</v>
      </c>
      <c r="E145">
        <v>4</v>
      </c>
      <c r="F145">
        <v>15</v>
      </c>
      <c r="G145">
        <v>2</v>
      </c>
      <c r="H145">
        <v>3.75</v>
      </c>
    </row>
    <row r="146" spans="1:8">
      <c r="A146">
        <v>145</v>
      </c>
      <c r="B146">
        <v>2022</v>
      </c>
      <c r="C146" t="s">
        <v>47</v>
      </c>
      <c r="D146" t="s">
        <v>513</v>
      </c>
      <c r="E146">
        <v>4</v>
      </c>
      <c r="F146">
        <v>29</v>
      </c>
      <c r="G146">
        <v>3</v>
      </c>
      <c r="H146">
        <v>7.25</v>
      </c>
    </row>
    <row r="147" spans="1:8">
      <c r="A147">
        <v>146</v>
      </c>
      <c r="B147">
        <v>2023</v>
      </c>
      <c r="C147" t="s">
        <v>50</v>
      </c>
      <c r="D147" t="s">
        <v>507</v>
      </c>
      <c r="E147">
        <v>2</v>
      </c>
      <c r="F147">
        <v>36</v>
      </c>
      <c r="G147">
        <v>1</v>
      </c>
      <c r="H147">
        <v>18</v>
      </c>
    </row>
    <row r="148" spans="1:8">
      <c r="A148">
        <v>147</v>
      </c>
      <c r="B148">
        <v>2022</v>
      </c>
      <c r="C148" t="s">
        <v>27</v>
      </c>
      <c r="D148" t="s">
        <v>511</v>
      </c>
      <c r="E148">
        <v>4</v>
      </c>
      <c r="F148">
        <v>37</v>
      </c>
      <c r="G148">
        <v>3</v>
      </c>
      <c r="H148">
        <v>9.25</v>
      </c>
    </row>
    <row r="149" spans="1:8">
      <c r="A149">
        <v>148</v>
      </c>
      <c r="B149">
        <v>2021</v>
      </c>
      <c r="C149" t="s">
        <v>32</v>
      </c>
      <c r="D149" t="s">
        <v>511</v>
      </c>
      <c r="E149">
        <v>4</v>
      </c>
      <c r="F149">
        <v>21</v>
      </c>
      <c r="G149">
        <v>5</v>
      </c>
      <c r="H149">
        <v>5.25</v>
      </c>
    </row>
    <row r="150" spans="1:8">
      <c r="A150">
        <v>149</v>
      </c>
      <c r="B150">
        <v>2022</v>
      </c>
      <c r="C150" t="s">
        <v>50</v>
      </c>
      <c r="D150" t="s">
        <v>512</v>
      </c>
      <c r="E150">
        <v>3</v>
      </c>
      <c r="F150">
        <v>12</v>
      </c>
      <c r="G150">
        <v>1</v>
      </c>
      <c r="H150">
        <v>4</v>
      </c>
    </row>
    <row r="151" spans="1:8">
      <c r="A151">
        <v>150</v>
      </c>
      <c r="B151">
        <v>2022</v>
      </c>
      <c r="C151" t="s">
        <v>27</v>
      </c>
      <c r="D151" t="s">
        <v>506</v>
      </c>
      <c r="E151">
        <v>4</v>
      </c>
      <c r="F151">
        <v>44</v>
      </c>
      <c r="G151">
        <v>2</v>
      </c>
      <c r="H151">
        <v>11</v>
      </c>
    </row>
    <row r="152" spans="1:8">
      <c r="A152">
        <v>151</v>
      </c>
      <c r="B152">
        <v>2023</v>
      </c>
      <c r="C152" t="s">
        <v>21</v>
      </c>
      <c r="D152" t="s">
        <v>41</v>
      </c>
      <c r="E152">
        <v>4</v>
      </c>
      <c r="F152">
        <v>23</v>
      </c>
      <c r="G152">
        <v>3</v>
      </c>
      <c r="H152">
        <v>5.75</v>
      </c>
    </row>
    <row r="153" spans="1:8">
      <c r="A153">
        <v>152</v>
      </c>
      <c r="B153">
        <v>2021</v>
      </c>
      <c r="C153" t="s">
        <v>32</v>
      </c>
      <c r="D153" t="s">
        <v>514</v>
      </c>
      <c r="E153">
        <v>4</v>
      </c>
      <c r="F153">
        <v>17</v>
      </c>
      <c r="G153">
        <v>2</v>
      </c>
      <c r="H153">
        <v>4.25</v>
      </c>
    </row>
    <row r="154" spans="1:8">
      <c r="A154">
        <v>153</v>
      </c>
      <c r="B154">
        <v>2025</v>
      </c>
      <c r="C154" t="s">
        <v>21</v>
      </c>
      <c r="D154" t="s">
        <v>514</v>
      </c>
      <c r="E154">
        <v>2</v>
      </c>
      <c r="F154">
        <v>42</v>
      </c>
      <c r="G154">
        <v>2</v>
      </c>
      <c r="H154">
        <v>21</v>
      </c>
    </row>
    <row r="155" spans="1:8">
      <c r="A155">
        <v>154</v>
      </c>
      <c r="B155">
        <v>2023</v>
      </c>
      <c r="C155" t="s">
        <v>32</v>
      </c>
      <c r="D155" t="s">
        <v>515</v>
      </c>
      <c r="E155">
        <v>2</v>
      </c>
      <c r="F155">
        <v>26</v>
      </c>
      <c r="G155">
        <v>1</v>
      </c>
      <c r="H155">
        <v>13</v>
      </c>
    </row>
    <row r="156" spans="1:8">
      <c r="A156">
        <v>155</v>
      </c>
      <c r="B156">
        <v>2021</v>
      </c>
      <c r="C156" t="s">
        <v>36</v>
      </c>
      <c r="D156" t="s">
        <v>516</v>
      </c>
      <c r="E156">
        <v>3</v>
      </c>
      <c r="F156">
        <v>11</v>
      </c>
      <c r="G156">
        <v>0</v>
      </c>
      <c r="H156">
        <v>3.67</v>
      </c>
    </row>
    <row r="157" spans="1:8">
      <c r="A157">
        <v>156</v>
      </c>
      <c r="B157">
        <v>2024</v>
      </c>
      <c r="C157" t="s">
        <v>47</v>
      </c>
      <c r="D157" t="s">
        <v>518</v>
      </c>
      <c r="E157">
        <v>3</v>
      </c>
      <c r="F157">
        <v>35</v>
      </c>
      <c r="G157">
        <v>1</v>
      </c>
      <c r="H157">
        <v>11.67</v>
      </c>
    </row>
    <row r="158" spans="1:8">
      <c r="A158">
        <v>157</v>
      </c>
      <c r="B158">
        <v>2021</v>
      </c>
      <c r="C158" t="s">
        <v>32</v>
      </c>
      <c r="D158" t="s">
        <v>516</v>
      </c>
      <c r="E158">
        <v>2</v>
      </c>
      <c r="F158">
        <v>26</v>
      </c>
      <c r="G158">
        <v>0</v>
      </c>
      <c r="H158">
        <v>13</v>
      </c>
    </row>
    <row r="159" spans="1:8">
      <c r="A159">
        <v>158</v>
      </c>
      <c r="B159">
        <v>2023</v>
      </c>
      <c r="C159" t="s">
        <v>27</v>
      </c>
      <c r="D159" t="s">
        <v>513</v>
      </c>
      <c r="E159">
        <v>4</v>
      </c>
      <c r="F159">
        <v>39</v>
      </c>
      <c r="G159">
        <v>3</v>
      </c>
      <c r="H159">
        <v>9.75</v>
      </c>
    </row>
    <row r="160" spans="1:8">
      <c r="A160">
        <v>159</v>
      </c>
      <c r="B160">
        <v>2024</v>
      </c>
      <c r="C160" t="s">
        <v>47</v>
      </c>
      <c r="D160" t="s">
        <v>512</v>
      </c>
      <c r="E160">
        <v>2</v>
      </c>
      <c r="F160">
        <v>45</v>
      </c>
      <c r="G160">
        <v>5</v>
      </c>
      <c r="H160">
        <v>22.5</v>
      </c>
    </row>
    <row r="161" spans="1:8">
      <c r="A161">
        <v>160</v>
      </c>
      <c r="B161">
        <v>2025</v>
      </c>
      <c r="C161" t="s">
        <v>22</v>
      </c>
      <c r="D161" t="s">
        <v>41</v>
      </c>
      <c r="E161">
        <v>3</v>
      </c>
      <c r="F161">
        <v>18</v>
      </c>
      <c r="G161">
        <v>3</v>
      </c>
      <c r="H161">
        <v>6</v>
      </c>
    </row>
    <row r="162" spans="1:8">
      <c r="A162">
        <v>161</v>
      </c>
      <c r="B162">
        <v>2025</v>
      </c>
      <c r="C162" t="s">
        <v>15</v>
      </c>
      <c r="D162" t="s">
        <v>507</v>
      </c>
      <c r="E162">
        <v>2</v>
      </c>
      <c r="F162">
        <v>20</v>
      </c>
      <c r="G162">
        <v>0</v>
      </c>
      <c r="H162">
        <v>10</v>
      </c>
    </row>
    <row r="163" spans="1:8">
      <c r="A163">
        <v>162</v>
      </c>
      <c r="B163">
        <v>2023</v>
      </c>
      <c r="C163" t="s">
        <v>50</v>
      </c>
      <c r="D163" t="s">
        <v>512</v>
      </c>
      <c r="E163">
        <v>2</v>
      </c>
      <c r="F163">
        <v>28</v>
      </c>
      <c r="G163">
        <v>0</v>
      </c>
      <c r="H163">
        <v>14</v>
      </c>
    </row>
    <row r="164" spans="1:8">
      <c r="A164">
        <v>163</v>
      </c>
      <c r="B164">
        <v>2023</v>
      </c>
      <c r="C164" t="s">
        <v>36</v>
      </c>
      <c r="D164" t="s">
        <v>41</v>
      </c>
      <c r="E164">
        <v>3</v>
      </c>
      <c r="F164">
        <v>20</v>
      </c>
      <c r="G164">
        <v>0</v>
      </c>
      <c r="H164">
        <v>6.67</v>
      </c>
    </row>
    <row r="165" spans="1:8">
      <c r="A165">
        <v>164</v>
      </c>
      <c r="B165">
        <v>2022</v>
      </c>
      <c r="C165" t="s">
        <v>14</v>
      </c>
      <c r="D165" t="s">
        <v>509</v>
      </c>
      <c r="E165">
        <v>3</v>
      </c>
      <c r="F165">
        <v>19</v>
      </c>
      <c r="G165">
        <v>3</v>
      </c>
      <c r="H165">
        <v>6.33</v>
      </c>
    </row>
    <row r="166" spans="1:8">
      <c r="A166">
        <v>165</v>
      </c>
      <c r="B166">
        <v>2022</v>
      </c>
      <c r="C166" t="s">
        <v>56</v>
      </c>
      <c r="D166" t="s">
        <v>505</v>
      </c>
      <c r="E166">
        <v>2</v>
      </c>
      <c r="F166">
        <v>12</v>
      </c>
      <c r="G166">
        <v>5</v>
      </c>
      <c r="H166">
        <v>6</v>
      </c>
    </row>
    <row r="167" spans="1:8">
      <c r="A167">
        <v>166</v>
      </c>
      <c r="B167">
        <v>2023</v>
      </c>
      <c r="C167" t="s">
        <v>36</v>
      </c>
      <c r="D167" t="s">
        <v>508</v>
      </c>
      <c r="E167">
        <v>3</v>
      </c>
      <c r="F167">
        <v>13</v>
      </c>
      <c r="G167">
        <v>5</v>
      </c>
      <c r="H167">
        <v>4.33</v>
      </c>
    </row>
    <row r="168" spans="1:8">
      <c r="A168">
        <v>167</v>
      </c>
      <c r="B168">
        <v>2024</v>
      </c>
      <c r="C168" t="s">
        <v>36</v>
      </c>
      <c r="D168" t="s">
        <v>509</v>
      </c>
      <c r="E168">
        <v>4</v>
      </c>
      <c r="F168">
        <v>16</v>
      </c>
      <c r="G168">
        <v>3</v>
      </c>
      <c r="H168">
        <v>4</v>
      </c>
    </row>
    <row r="169" spans="1:8">
      <c r="A169">
        <v>168</v>
      </c>
      <c r="B169">
        <v>2025</v>
      </c>
      <c r="C169" t="s">
        <v>15</v>
      </c>
      <c r="D169" t="s">
        <v>515</v>
      </c>
      <c r="E169">
        <v>2</v>
      </c>
      <c r="F169">
        <v>48</v>
      </c>
      <c r="G169">
        <v>0</v>
      </c>
      <c r="H169">
        <v>24</v>
      </c>
    </row>
    <row r="170" spans="1:8">
      <c r="A170">
        <v>169</v>
      </c>
      <c r="B170">
        <v>2023</v>
      </c>
      <c r="C170" t="s">
        <v>14</v>
      </c>
      <c r="D170" t="s">
        <v>514</v>
      </c>
      <c r="E170">
        <v>3</v>
      </c>
      <c r="F170">
        <v>22</v>
      </c>
      <c r="G170">
        <v>1</v>
      </c>
      <c r="H170">
        <v>7.33</v>
      </c>
    </row>
    <row r="171" spans="1:8">
      <c r="A171">
        <v>170</v>
      </c>
      <c r="B171">
        <v>2025</v>
      </c>
      <c r="C171" t="s">
        <v>56</v>
      </c>
      <c r="D171" t="s">
        <v>511</v>
      </c>
      <c r="E171">
        <v>2</v>
      </c>
      <c r="F171">
        <v>22</v>
      </c>
      <c r="G171">
        <v>0</v>
      </c>
      <c r="H171">
        <v>11</v>
      </c>
    </row>
    <row r="172" spans="1:8">
      <c r="A172">
        <v>171</v>
      </c>
      <c r="B172">
        <v>2021</v>
      </c>
      <c r="C172" t="s">
        <v>14</v>
      </c>
      <c r="D172" t="s">
        <v>518</v>
      </c>
      <c r="E172">
        <v>2</v>
      </c>
      <c r="F172">
        <v>10</v>
      </c>
      <c r="G172">
        <v>2</v>
      </c>
      <c r="H172">
        <v>5</v>
      </c>
    </row>
    <row r="173" spans="1:8">
      <c r="A173">
        <v>172</v>
      </c>
      <c r="B173">
        <v>2023</v>
      </c>
      <c r="C173" t="s">
        <v>22</v>
      </c>
      <c r="D173" t="s">
        <v>509</v>
      </c>
      <c r="E173">
        <v>4</v>
      </c>
      <c r="F173">
        <v>14</v>
      </c>
      <c r="G173">
        <v>1</v>
      </c>
      <c r="H173">
        <v>3.5</v>
      </c>
    </row>
    <row r="174" spans="1:8">
      <c r="A174">
        <v>173</v>
      </c>
      <c r="B174">
        <v>2024</v>
      </c>
      <c r="C174" t="s">
        <v>21</v>
      </c>
      <c r="D174" t="s">
        <v>514</v>
      </c>
      <c r="E174">
        <v>4</v>
      </c>
      <c r="F174">
        <v>20</v>
      </c>
      <c r="G174">
        <v>5</v>
      </c>
      <c r="H174">
        <v>5</v>
      </c>
    </row>
    <row r="175" spans="1:8">
      <c r="A175">
        <v>174</v>
      </c>
      <c r="B175">
        <v>2023</v>
      </c>
      <c r="C175" t="s">
        <v>27</v>
      </c>
      <c r="D175" t="s">
        <v>516</v>
      </c>
      <c r="E175">
        <v>3</v>
      </c>
      <c r="F175">
        <v>42</v>
      </c>
      <c r="G175">
        <v>0</v>
      </c>
      <c r="H175">
        <v>14</v>
      </c>
    </row>
    <row r="176" spans="1:8">
      <c r="A176">
        <v>175</v>
      </c>
      <c r="B176">
        <v>2022</v>
      </c>
      <c r="C176" t="s">
        <v>56</v>
      </c>
      <c r="D176" t="s">
        <v>513</v>
      </c>
      <c r="E176">
        <v>4</v>
      </c>
      <c r="F176">
        <v>50</v>
      </c>
      <c r="G176">
        <v>1</v>
      </c>
      <c r="H176">
        <v>12.5</v>
      </c>
    </row>
    <row r="177" spans="1:8">
      <c r="A177">
        <v>176</v>
      </c>
      <c r="B177">
        <v>2023</v>
      </c>
      <c r="C177" t="s">
        <v>50</v>
      </c>
      <c r="D177" t="s">
        <v>508</v>
      </c>
      <c r="E177">
        <v>4</v>
      </c>
      <c r="F177">
        <v>35</v>
      </c>
      <c r="G177">
        <v>3</v>
      </c>
      <c r="H177">
        <v>8.75</v>
      </c>
    </row>
    <row r="178" spans="1:8">
      <c r="A178">
        <v>177</v>
      </c>
      <c r="B178">
        <v>2025</v>
      </c>
      <c r="C178" t="s">
        <v>21</v>
      </c>
      <c r="D178" t="s">
        <v>508</v>
      </c>
      <c r="E178">
        <v>2</v>
      </c>
      <c r="F178">
        <v>16</v>
      </c>
      <c r="G178">
        <v>2</v>
      </c>
      <c r="H178">
        <v>8</v>
      </c>
    </row>
    <row r="179" spans="1:8">
      <c r="A179">
        <v>178</v>
      </c>
      <c r="B179">
        <v>2024</v>
      </c>
      <c r="C179" t="s">
        <v>56</v>
      </c>
      <c r="D179" t="s">
        <v>505</v>
      </c>
      <c r="E179">
        <v>2</v>
      </c>
      <c r="F179">
        <v>35</v>
      </c>
      <c r="G179">
        <v>5</v>
      </c>
      <c r="H179">
        <v>17.5</v>
      </c>
    </row>
    <row r="180" spans="1:8">
      <c r="A180">
        <v>179</v>
      </c>
      <c r="B180">
        <v>2021</v>
      </c>
      <c r="C180" t="s">
        <v>56</v>
      </c>
      <c r="D180" t="s">
        <v>516</v>
      </c>
      <c r="E180">
        <v>3</v>
      </c>
      <c r="F180">
        <v>23</v>
      </c>
      <c r="G180">
        <v>3</v>
      </c>
      <c r="H180">
        <v>7.67</v>
      </c>
    </row>
    <row r="181" spans="1:8">
      <c r="A181">
        <v>180</v>
      </c>
      <c r="B181">
        <v>2025</v>
      </c>
      <c r="C181" t="s">
        <v>22</v>
      </c>
      <c r="D181" t="s">
        <v>512</v>
      </c>
      <c r="E181">
        <v>4</v>
      </c>
      <c r="F181">
        <v>27</v>
      </c>
      <c r="G181">
        <v>5</v>
      </c>
      <c r="H181">
        <v>6.75</v>
      </c>
    </row>
    <row r="182" spans="1:8">
      <c r="A182">
        <v>181</v>
      </c>
      <c r="B182">
        <v>2022</v>
      </c>
      <c r="C182" t="s">
        <v>50</v>
      </c>
      <c r="D182" t="s">
        <v>513</v>
      </c>
      <c r="E182">
        <v>2</v>
      </c>
      <c r="F182">
        <v>14</v>
      </c>
      <c r="G182">
        <v>1</v>
      </c>
      <c r="H182">
        <v>7</v>
      </c>
    </row>
    <row r="183" spans="1:8">
      <c r="A183">
        <v>182</v>
      </c>
      <c r="B183">
        <v>2024</v>
      </c>
      <c r="C183" t="s">
        <v>32</v>
      </c>
      <c r="D183" t="s">
        <v>506</v>
      </c>
      <c r="E183">
        <v>4</v>
      </c>
      <c r="F183">
        <v>41</v>
      </c>
      <c r="G183">
        <v>0</v>
      </c>
      <c r="H183">
        <v>10.25</v>
      </c>
    </row>
    <row r="184" spans="1:8">
      <c r="A184">
        <v>183</v>
      </c>
      <c r="B184">
        <v>2023</v>
      </c>
      <c r="C184" t="s">
        <v>36</v>
      </c>
      <c r="D184" t="s">
        <v>514</v>
      </c>
      <c r="E184">
        <v>4</v>
      </c>
      <c r="F184">
        <v>20</v>
      </c>
      <c r="G184">
        <v>2</v>
      </c>
      <c r="H184">
        <v>5</v>
      </c>
    </row>
    <row r="185" spans="1:8">
      <c r="A185">
        <v>184</v>
      </c>
      <c r="B185">
        <v>2025</v>
      </c>
      <c r="C185" t="s">
        <v>21</v>
      </c>
      <c r="D185" t="s">
        <v>510</v>
      </c>
      <c r="E185">
        <v>3</v>
      </c>
      <c r="F185">
        <v>50</v>
      </c>
      <c r="G185">
        <v>5</v>
      </c>
      <c r="H185">
        <v>16.670000000000002</v>
      </c>
    </row>
    <row r="186" spans="1:8">
      <c r="A186">
        <v>185</v>
      </c>
      <c r="B186">
        <v>2025</v>
      </c>
      <c r="C186" t="s">
        <v>32</v>
      </c>
      <c r="D186" t="s">
        <v>509</v>
      </c>
      <c r="E186">
        <v>4</v>
      </c>
      <c r="F186">
        <v>18</v>
      </c>
      <c r="G186">
        <v>2</v>
      </c>
      <c r="H186">
        <v>4.5</v>
      </c>
    </row>
    <row r="187" spans="1:8">
      <c r="A187">
        <v>186</v>
      </c>
      <c r="B187">
        <v>2022</v>
      </c>
      <c r="C187" t="s">
        <v>27</v>
      </c>
      <c r="D187" t="s">
        <v>509</v>
      </c>
      <c r="E187">
        <v>4</v>
      </c>
      <c r="F187">
        <v>30</v>
      </c>
      <c r="G187">
        <v>5</v>
      </c>
      <c r="H187">
        <v>7.5</v>
      </c>
    </row>
    <row r="188" spans="1:8">
      <c r="A188">
        <v>187</v>
      </c>
      <c r="B188">
        <v>2024</v>
      </c>
      <c r="C188" t="s">
        <v>47</v>
      </c>
      <c r="D188" t="s">
        <v>512</v>
      </c>
      <c r="E188">
        <v>3</v>
      </c>
      <c r="F188">
        <v>11</v>
      </c>
      <c r="G188">
        <v>4</v>
      </c>
      <c r="H188">
        <v>3.67</v>
      </c>
    </row>
    <row r="189" spans="1:8">
      <c r="A189">
        <v>188</v>
      </c>
      <c r="B189">
        <v>2023</v>
      </c>
      <c r="C189" t="s">
        <v>50</v>
      </c>
      <c r="D189" t="s">
        <v>515</v>
      </c>
      <c r="E189">
        <v>3</v>
      </c>
      <c r="F189">
        <v>42</v>
      </c>
      <c r="G189">
        <v>5</v>
      </c>
      <c r="H189">
        <v>14</v>
      </c>
    </row>
    <row r="190" spans="1:8">
      <c r="A190">
        <v>189</v>
      </c>
      <c r="B190">
        <v>2023</v>
      </c>
      <c r="C190" t="s">
        <v>22</v>
      </c>
      <c r="D190" t="s">
        <v>517</v>
      </c>
      <c r="E190">
        <v>4</v>
      </c>
      <c r="F190">
        <v>10</v>
      </c>
      <c r="G190">
        <v>1</v>
      </c>
      <c r="H190">
        <v>2.5</v>
      </c>
    </row>
    <row r="191" spans="1:8">
      <c r="A191">
        <v>190</v>
      </c>
      <c r="B191">
        <v>2025</v>
      </c>
      <c r="C191" t="s">
        <v>14</v>
      </c>
      <c r="D191" t="s">
        <v>510</v>
      </c>
      <c r="E191">
        <v>2</v>
      </c>
      <c r="F191">
        <v>29</v>
      </c>
      <c r="G191">
        <v>1</v>
      </c>
      <c r="H191">
        <v>14.5</v>
      </c>
    </row>
    <row r="192" spans="1:8">
      <c r="A192">
        <v>191</v>
      </c>
      <c r="B192">
        <v>2023</v>
      </c>
      <c r="C192" t="s">
        <v>32</v>
      </c>
      <c r="D192" t="s">
        <v>514</v>
      </c>
      <c r="E192">
        <v>2</v>
      </c>
      <c r="F192">
        <v>49</v>
      </c>
      <c r="G192">
        <v>0</v>
      </c>
      <c r="H192">
        <v>24.5</v>
      </c>
    </row>
    <row r="193" spans="1:8">
      <c r="A193">
        <v>192</v>
      </c>
      <c r="B193">
        <v>2022</v>
      </c>
      <c r="C193" t="s">
        <v>14</v>
      </c>
      <c r="D193" t="s">
        <v>505</v>
      </c>
      <c r="E193">
        <v>3</v>
      </c>
      <c r="F193">
        <v>41</v>
      </c>
      <c r="G193">
        <v>2</v>
      </c>
      <c r="H193">
        <v>13.67</v>
      </c>
    </row>
    <row r="194" spans="1:8">
      <c r="A194">
        <v>193</v>
      </c>
      <c r="B194">
        <v>2022</v>
      </c>
      <c r="C194" t="s">
        <v>22</v>
      </c>
      <c r="D194" t="s">
        <v>505</v>
      </c>
      <c r="E194">
        <v>3</v>
      </c>
      <c r="F194">
        <v>23</v>
      </c>
      <c r="G194">
        <v>5</v>
      </c>
      <c r="H194">
        <v>7.67</v>
      </c>
    </row>
    <row r="195" spans="1:8">
      <c r="A195">
        <v>194</v>
      </c>
      <c r="B195">
        <v>2023</v>
      </c>
      <c r="C195" t="s">
        <v>14</v>
      </c>
      <c r="D195" t="s">
        <v>508</v>
      </c>
      <c r="E195">
        <v>4</v>
      </c>
      <c r="F195">
        <v>48</v>
      </c>
      <c r="G195">
        <v>3</v>
      </c>
      <c r="H195">
        <v>12</v>
      </c>
    </row>
    <row r="196" spans="1:8">
      <c r="A196">
        <v>195</v>
      </c>
      <c r="B196">
        <v>2024</v>
      </c>
      <c r="C196" t="s">
        <v>56</v>
      </c>
      <c r="D196" t="s">
        <v>505</v>
      </c>
      <c r="E196">
        <v>3</v>
      </c>
      <c r="F196">
        <v>30</v>
      </c>
      <c r="G196">
        <v>5</v>
      </c>
      <c r="H196">
        <v>10</v>
      </c>
    </row>
    <row r="197" spans="1:8">
      <c r="A197">
        <v>196</v>
      </c>
      <c r="B197">
        <v>2024</v>
      </c>
      <c r="C197" t="s">
        <v>14</v>
      </c>
      <c r="D197" t="s">
        <v>517</v>
      </c>
      <c r="E197">
        <v>3</v>
      </c>
      <c r="F197">
        <v>28</v>
      </c>
      <c r="G197">
        <v>0</v>
      </c>
      <c r="H197">
        <v>9.33</v>
      </c>
    </row>
    <row r="198" spans="1:8">
      <c r="A198">
        <v>197</v>
      </c>
      <c r="B198">
        <v>2022</v>
      </c>
      <c r="C198" t="s">
        <v>22</v>
      </c>
      <c r="D198" t="s">
        <v>507</v>
      </c>
      <c r="E198">
        <v>4</v>
      </c>
      <c r="F198">
        <v>31</v>
      </c>
      <c r="G198">
        <v>2</v>
      </c>
      <c r="H198">
        <v>7.75</v>
      </c>
    </row>
    <row r="199" spans="1:8">
      <c r="A199">
        <v>198</v>
      </c>
      <c r="B199">
        <v>2024</v>
      </c>
      <c r="C199" t="s">
        <v>22</v>
      </c>
      <c r="D199" t="s">
        <v>508</v>
      </c>
      <c r="E199">
        <v>4</v>
      </c>
      <c r="F199">
        <v>13</v>
      </c>
      <c r="G199">
        <v>5</v>
      </c>
      <c r="H199">
        <v>3.25</v>
      </c>
    </row>
    <row r="200" spans="1:8">
      <c r="A200">
        <v>199</v>
      </c>
      <c r="B200">
        <v>2022</v>
      </c>
      <c r="C200" t="s">
        <v>22</v>
      </c>
      <c r="D200" t="s">
        <v>514</v>
      </c>
      <c r="E200">
        <v>4</v>
      </c>
      <c r="F200">
        <v>24</v>
      </c>
      <c r="G200">
        <v>4</v>
      </c>
      <c r="H200">
        <v>6</v>
      </c>
    </row>
    <row r="201" spans="1:8">
      <c r="A201">
        <v>200</v>
      </c>
      <c r="B201">
        <v>2025</v>
      </c>
      <c r="C201" t="s">
        <v>32</v>
      </c>
      <c r="D201" t="s">
        <v>517</v>
      </c>
      <c r="E201">
        <v>3</v>
      </c>
      <c r="F201">
        <v>21</v>
      </c>
      <c r="G201">
        <v>3</v>
      </c>
      <c r="H201">
        <v>7</v>
      </c>
    </row>
    <row r="202" spans="1:8">
      <c r="A202">
        <v>201</v>
      </c>
      <c r="B202">
        <v>2025</v>
      </c>
      <c r="C202" t="s">
        <v>14</v>
      </c>
      <c r="D202" t="s">
        <v>512</v>
      </c>
      <c r="E202">
        <v>3</v>
      </c>
      <c r="F202">
        <v>14</v>
      </c>
      <c r="G202">
        <v>1</v>
      </c>
      <c r="H202">
        <v>4.67</v>
      </c>
    </row>
    <row r="203" spans="1:8">
      <c r="A203">
        <v>202</v>
      </c>
      <c r="B203">
        <v>2025</v>
      </c>
      <c r="C203" t="s">
        <v>14</v>
      </c>
      <c r="D203" t="s">
        <v>509</v>
      </c>
      <c r="E203">
        <v>2</v>
      </c>
      <c r="F203">
        <v>23</v>
      </c>
      <c r="G203">
        <v>1</v>
      </c>
      <c r="H203">
        <v>11.5</v>
      </c>
    </row>
    <row r="204" spans="1:8">
      <c r="A204">
        <v>203</v>
      </c>
      <c r="B204">
        <v>2023</v>
      </c>
      <c r="C204" t="s">
        <v>21</v>
      </c>
      <c r="D204" t="s">
        <v>505</v>
      </c>
      <c r="E204">
        <v>4</v>
      </c>
      <c r="F204">
        <v>45</v>
      </c>
      <c r="G204">
        <v>1</v>
      </c>
      <c r="H204">
        <v>11.25</v>
      </c>
    </row>
    <row r="205" spans="1:8">
      <c r="A205">
        <v>204</v>
      </c>
      <c r="B205">
        <v>2022</v>
      </c>
      <c r="C205" t="s">
        <v>22</v>
      </c>
      <c r="D205" t="s">
        <v>517</v>
      </c>
      <c r="E205">
        <v>2</v>
      </c>
      <c r="F205">
        <v>37</v>
      </c>
      <c r="G205">
        <v>5</v>
      </c>
      <c r="H205">
        <v>18.5</v>
      </c>
    </row>
    <row r="206" spans="1:8">
      <c r="A206">
        <v>205</v>
      </c>
      <c r="B206">
        <v>2025</v>
      </c>
      <c r="C206" t="s">
        <v>47</v>
      </c>
      <c r="D206" t="s">
        <v>506</v>
      </c>
      <c r="E206">
        <v>2</v>
      </c>
      <c r="F206">
        <v>22</v>
      </c>
      <c r="G206">
        <v>1</v>
      </c>
      <c r="H206">
        <v>11</v>
      </c>
    </row>
    <row r="207" spans="1:8">
      <c r="A207">
        <v>206</v>
      </c>
      <c r="B207">
        <v>2021</v>
      </c>
      <c r="C207" t="s">
        <v>32</v>
      </c>
      <c r="D207" t="s">
        <v>505</v>
      </c>
      <c r="E207">
        <v>4</v>
      </c>
      <c r="F207">
        <v>25</v>
      </c>
      <c r="G207">
        <v>2</v>
      </c>
      <c r="H207">
        <v>6.25</v>
      </c>
    </row>
    <row r="208" spans="1:8">
      <c r="A208">
        <v>207</v>
      </c>
      <c r="B208">
        <v>2022</v>
      </c>
      <c r="C208" t="s">
        <v>15</v>
      </c>
      <c r="D208" t="s">
        <v>510</v>
      </c>
      <c r="E208">
        <v>3</v>
      </c>
      <c r="F208">
        <v>50</v>
      </c>
      <c r="G208">
        <v>1</v>
      </c>
      <c r="H208">
        <v>16.670000000000002</v>
      </c>
    </row>
    <row r="209" spans="1:8">
      <c r="A209">
        <v>208</v>
      </c>
      <c r="B209">
        <v>2023</v>
      </c>
      <c r="C209" t="s">
        <v>15</v>
      </c>
      <c r="D209" t="s">
        <v>507</v>
      </c>
      <c r="E209">
        <v>3</v>
      </c>
      <c r="F209">
        <v>15</v>
      </c>
      <c r="G209">
        <v>2</v>
      </c>
      <c r="H209">
        <v>5</v>
      </c>
    </row>
    <row r="210" spans="1:8">
      <c r="A210">
        <v>209</v>
      </c>
      <c r="B210">
        <v>2025</v>
      </c>
      <c r="C210" t="s">
        <v>32</v>
      </c>
      <c r="D210" t="s">
        <v>518</v>
      </c>
      <c r="E210">
        <v>2</v>
      </c>
      <c r="F210">
        <v>40</v>
      </c>
      <c r="G210">
        <v>3</v>
      </c>
      <c r="H210">
        <v>20</v>
      </c>
    </row>
    <row r="211" spans="1:8">
      <c r="A211">
        <v>210</v>
      </c>
      <c r="B211">
        <v>2021</v>
      </c>
      <c r="C211" t="s">
        <v>32</v>
      </c>
      <c r="D211" t="s">
        <v>517</v>
      </c>
      <c r="E211">
        <v>4</v>
      </c>
      <c r="F211">
        <v>37</v>
      </c>
      <c r="G211">
        <v>1</v>
      </c>
      <c r="H211">
        <v>9.25</v>
      </c>
    </row>
    <row r="212" spans="1:8">
      <c r="A212">
        <v>211</v>
      </c>
      <c r="B212">
        <v>2025</v>
      </c>
      <c r="C212" t="s">
        <v>47</v>
      </c>
      <c r="D212" t="s">
        <v>516</v>
      </c>
      <c r="E212">
        <v>3</v>
      </c>
      <c r="F212">
        <v>37</v>
      </c>
      <c r="G212">
        <v>0</v>
      </c>
      <c r="H212">
        <v>12.33</v>
      </c>
    </row>
    <row r="213" spans="1:8">
      <c r="A213">
        <v>212</v>
      </c>
      <c r="B213">
        <v>2025</v>
      </c>
      <c r="C213" t="s">
        <v>15</v>
      </c>
      <c r="D213" t="s">
        <v>510</v>
      </c>
      <c r="E213">
        <v>4</v>
      </c>
      <c r="F213">
        <v>19</v>
      </c>
      <c r="G213">
        <v>4</v>
      </c>
      <c r="H213">
        <v>4.75</v>
      </c>
    </row>
    <row r="214" spans="1:8">
      <c r="A214">
        <v>213</v>
      </c>
      <c r="B214">
        <v>2024</v>
      </c>
      <c r="C214" t="s">
        <v>27</v>
      </c>
      <c r="D214" t="s">
        <v>506</v>
      </c>
      <c r="E214">
        <v>3</v>
      </c>
      <c r="F214">
        <v>39</v>
      </c>
      <c r="G214">
        <v>2</v>
      </c>
      <c r="H214">
        <v>13</v>
      </c>
    </row>
    <row r="215" spans="1:8">
      <c r="A215">
        <v>214</v>
      </c>
      <c r="B215">
        <v>2024</v>
      </c>
      <c r="C215" t="s">
        <v>47</v>
      </c>
      <c r="D215" t="s">
        <v>506</v>
      </c>
      <c r="E215">
        <v>3</v>
      </c>
      <c r="F215">
        <v>45</v>
      </c>
      <c r="G215">
        <v>4</v>
      </c>
      <c r="H215">
        <v>15</v>
      </c>
    </row>
    <row r="216" spans="1:8">
      <c r="A216">
        <v>215</v>
      </c>
      <c r="B216">
        <v>2022</v>
      </c>
      <c r="C216" t="s">
        <v>47</v>
      </c>
      <c r="D216" t="s">
        <v>512</v>
      </c>
      <c r="E216">
        <v>3</v>
      </c>
      <c r="F216">
        <v>18</v>
      </c>
      <c r="G216">
        <v>5</v>
      </c>
      <c r="H216">
        <v>6</v>
      </c>
    </row>
    <row r="217" spans="1:8">
      <c r="A217">
        <v>216</v>
      </c>
      <c r="B217">
        <v>2022</v>
      </c>
      <c r="C217" t="s">
        <v>47</v>
      </c>
      <c r="D217" t="s">
        <v>508</v>
      </c>
      <c r="E217">
        <v>2</v>
      </c>
      <c r="F217">
        <v>22</v>
      </c>
      <c r="G217">
        <v>0</v>
      </c>
      <c r="H217">
        <v>11</v>
      </c>
    </row>
    <row r="218" spans="1:8">
      <c r="A218">
        <v>217</v>
      </c>
      <c r="B218">
        <v>2022</v>
      </c>
      <c r="C218" t="s">
        <v>14</v>
      </c>
      <c r="D218" t="s">
        <v>507</v>
      </c>
      <c r="E218">
        <v>4</v>
      </c>
      <c r="F218">
        <v>33</v>
      </c>
      <c r="G218">
        <v>3</v>
      </c>
      <c r="H218">
        <v>8.25</v>
      </c>
    </row>
    <row r="219" spans="1:8">
      <c r="A219">
        <v>218</v>
      </c>
      <c r="B219">
        <v>2023</v>
      </c>
      <c r="C219" t="s">
        <v>32</v>
      </c>
      <c r="D219" t="s">
        <v>511</v>
      </c>
      <c r="E219">
        <v>3</v>
      </c>
      <c r="F219">
        <v>35</v>
      </c>
      <c r="G219">
        <v>5</v>
      </c>
      <c r="H219">
        <v>11.67</v>
      </c>
    </row>
    <row r="220" spans="1:8">
      <c r="A220">
        <v>219</v>
      </c>
      <c r="B220">
        <v>2022</v>
      </c>
      <c r="C220" t="s">
        <v>56</v>
      </c>
      <c r="D220" t="s">
        <v>518</v>
      </c>
      <c r="E220">
        <v>3</v>
      </c>
      <c r="F220">
        <v>29</v>
      </c>
      <c r="G220">
        <v>5</v>
      </c>
      <c r="H220">
        <v>9.67</v>
      </c>
    </row>
    <row r="221" spans="1:8">
      <c r="A221">
        <v>220</v>
      </c>
      <c r="B221">
        <v>2025</v>
      </c>
      <c r="C221" t="s">
        <v>50</v>
      </c>
      <c r="D221" t="s">
        <v>512</v>
      </c>
      <c r="E221">
        <v>3</v>
      </c>
      <c r="F221">
        <v>12</v>
      </c>
      <c r="G221">
        <v>0</v>
      </c>
      <c r="H221">
        <v>4</v>
      </c>
    </row>
    <row r="222" spans="1:8">
      <c r="A222">
        <v>221</v>
      </c>
      <c r="B222">
        <v>2025</v>
      </c>
      <c r="C222" t="s">
        <v>32</v>
      </c>
      <c r="D222" t="s">
        <v>511</v>
      </c>
      <c r="E222">
        <v>4</v>
      </c>
      <c r="F222">
        <v>20</v>
      </c>
      <c r="G222">
        <v>1</v>
      </c>
      <c r="H222">
        <v>5</v>
      </c>
    </row>
    <row r="223" spans="1:8">
      <c r="A223">
        <v>222</v>
      </c>
      <c r="B223">
        <v>2024</v>
      </c>
      <c r="C223" t="s">
        <v>32</v>
      </c>
      <c r="D223" t="s">
        <v>506</v>
      </c>
      <c r="E223">
        <v>4</v>
      </c>
      <c r="F223">
        <v>32</v>
      </c>
      <c r="G223">
        <v>4</v>
      </c>
      <c r="H223">
        <v>8</v>
      </c>
    </row>
    <row r="224" spans="1:8">
      <c r="A224">
        <v>223</v>
      </c>
      <c r="B224">
        <v>2023</v>
      </c>
      <c r="C224" t="s">
        <v>47</v>
      </c>
      <c r="D224" t="s">
        <v>509</v>
      </c>
      <c r="E224">
        <v>4</v>
      </c>
      <c r="F224">
        <v>33</v>
      </c>
      <c r="G224">
        <v>5</v>
      </c>
      <c r="H224">
        <v>8.25</v>
      </c>
    </row>
    <row r="225" spans="1:8">
      <c r="A225">
        <v>224</v>
      </c>
      <c r="B225">
        <v>2021</v>
      </c>
      <c r="C225" t="s">
        <v>14</v>
      </c>
      <c r="D225" t="s">
        <v>509</v>
      </c>
      <c r="E225">
        <v>3</v>
      </c>
      <c r="F225">
        <v>37</v>
      </c>
      <c r="G225">
        <v>5</v>
      </c>
      <c r="H225">
        <v>12.33</v>
      </c>
    </row>
    <row r="226" spans="1:8">
      <c r="A226">
        <v>225</v>
      </c>
      <c r="B226">
        <v>2023</v>
      </c>
      <c r="C226" t="s">
        <v>22</v>
      </c>
      <c r="D226" t="s">
        <v>508</v>
      </c>
      <c r="E226">
        <v>3</v>
      </c>
      <c r="F226">
        <v>12</v>
      </c>
      <c r="G226">
        <v>2</v>
      </c>
      <c r="H226">
        <v>4</v>
      </c>
    </row>
    <row r="227" spans="1:8">
      <c r="A227">
        <v>226</v>
      </c>
      <c r="B227">
        <v>2023</v>
      </c>
      <c r="C227" t="s">
        <v>14</v>
      </c>
      <c r="D227" t="s">
        <v>41</v>
      </c>
      <c r="E227">
        <v>4</v>
      </c>
      <c r="F227">
        <v>19</v>
      </c>
      <c r="G227">
        <v>2</v>
      </c>
      <c r="H227">
        <v>4.75</v>
      </c>
    </row>
    <row r="228" spans="1:8">
      <c r="A228">
        <v>227</v>
      </c>
      <c r="B228">
        <v>2022</v>
      </c>
      <c r="C228" t="s">
        <v>50</v>
      </c>
      <c r="D228" t="s">
        <v>515</v>
      </c>
      <c r="E228">
        <v>4</v>
      </c>
      <c r="F228">
        <v>19</v>
      </c>
      <c r="G228">
        <v>2</v>
      </c>
      <c r="H228">
        <v>4.75</v>
      </c>
    </row>
    <row r="229" spans="1:8">
      <c r="A229">
        <v>228</v>
      </c>
      <c r="B229">
        <v>2025</v>
      </c>
      <c r="C229" t="s">
        <v>22</v>
      </c>
      <c r="D229" t="s">
        <v>510</v>
      </c>
      <c r="E229">
        <v>4</v>
      </c>
      <c r="F229">
        <v>20</v>
      </c>
      <c r="G229">
        <v>0</v>
      </c>
      <c r="H229">
        <v>5</v>
      </c>
    </row>
    <row r="230" spans="1:8">
      <c r="A230">
        <v>229</v>
      </c>
      <c r="B230">
        <v>2024</v>
      </c>
      <c r="C230" t="s">
        <v>21</v>
      </c>
      <c r="D230" t="s">
        <v>514</v>
      </c>
      <c r="E230">
        <v>2</v>
      </c>
      <c r="F230">
        <v>34</v>
      </c>
      <c r="G230">
        <v>3</v>
      </c>
      <c r="H230">
        <v>17</v>
      </c>
    </row>
    <row r="231" spans="1:8">
      <c r="A231">
        <v>230</v>
      </c>
      <c r="B231">
        <v>2021</v>
      </c>
      <c r="C231" t="s">
        <v>50</v>
      </c>
      <c r="D231" t="s">
        <v>511</v>
      </c>
      <c r="E231">
        <v>2</v>
      </c>
      <c r="F231">
        <v>43</v>
      </c>
      <c r="G231">
        <v>1</v>
      </c>
      <c r="H231">
        <v>21.5</v>
      </c>
    </row>
    <row r="232" spans="1:8">
      <c r="A232">
        <v>231</v>
      </c>
      <c r="B232">
        <v>2021</v>
      </c>
      <c r="C232" t="s">
        <v>32</v>
      </c>
      <c r="D232" t="s">
        <v>505</v>
      </c>
      <c r="E232">
        <v>3</v>
      </c>
      <c r="F232">
        <v>26</v>
      </c>
      <c r="G232">
        <v>5</v>
      </c>
      <c r="H232">
        <v>8.67</v>
      </c>
    </row>
    <row r="233" spans="1:8">
      <c r="A233">
        <v>232</v>
      </c>
      <c r="B233">
        <v>2022</v>
      </c>
      <c r="C233" t="s">
        <v>15</v>
      </c>
      <c r="D233" t="s">
        <v>517</v>
      </c>
      <c r="E233">
        <v>4</v>
      </c>
      <c r="F233">
        <v>34</v>
      </c>
      <c r="G233">
        <v>4</v>
      </c>
      <c r="H233">
        <v>8.5</v>
      </c>
    </row>
    <row r="234" spans="1:8">
      <c r="A234">
        <v>233</v>
      </c>
      <c r="B234">
        <v>2022</v>
      </c>
      <c r="C234" t="s">
        <v>15</v>
      </c>
      <c r="D234" t="s">
        <v>41</v>
      </c>
      <c r="E234">
        <v>3</v>
      </c>
      <c r="F234">
        <v>15</v>
      </c>
      <c r="G234">
        <v>0</v>
      </c>
      <c r="H234">
        <v>5</v>
      </c>
    </row>
    <row r="235" spans="1:8">
      <c r="A235">
        <v>234</v>
      </c>
      <c r="B235">
        <v>2025</v>
      </c>
      <c r="C235" t="s">
        <v>50</v>
      </c>
      <c r="D235" t="s">
        <v>514</v>
      </c>
      <c r="E235">
        <v>3</v>
      </c>
      <c r="F235">
        <v>19</v>
      </c>
      <c r="G235">
        <v>2</v>
      </c>
      <c r="H235">
        <v>6.33</v>
      </c>
    </row>
    <row r="236" spans="1:8">
      <c r="A236">
        <v>235</v>
      </c>
      <c r="B236">
        <v>2023</v>
      </c>
      <c r="C236" t="s">
        <v>22</v>
      </c>
      <c r="D236" t="s">
        <v>511</v>
      </c>
      <c r="E236">
        <v>4</v>
      </c>
      <c r="F236">
        <v>35</v>
      </c>
      <c r="G236">
        <v>5</v>
      </c>
      <c r="H236">
        <v>8.75</v>
      </c>
    </row>
    <row r="237" spans="1:8">
      <c r="A237">
        <v>236</v>
      </c>
      <c r="B237">
        <v>2024</v>
      </c>
      <c r="C237" t="s">
        <v>15</v>
      </c>
      <c r="D237" t="s">
        <v>516</v>
      </c>
      <c r="E237">
        <v>2</v>
      </c>
      <c r="F237">
        <v>41</v>
      </c>
      <c r="G237">
        <v>0</v>
      </c>
      <c r="H237">
        <v>20.5</v>
      </c>
    </row>
    <row r="238" spans="1:8">
      <c r="A238">
        <v>237</v>
      </c>
      <c r="B238">
        <v>2025</v>
      </c>
      <c r="C238" t="s">
        <v>21</v>
      </c>
      <c r="D238" t="s">
        <v>512</v>
      </c>
      <c r="E238">
        <v>4</v>
      </c>
      <c r="F238">
        <v>36</v>
      </c>
      <c r="G238">
        <v>4</v>
      </c>
      <c r="H238">
        <v>9</v>
      </c>
    </row>
    <row r="239" spans="1:8">
      <c r="A239">
        <v>238</v>
      </c>
      <c r="B239">
        <v>2023</v>
      </c>
      <c r="C239" t="s">
        <v>32</v>
      </c>
      <c r="D239" t="s">
        <v>509</v>
      </c>
      <c r="E239">
        <v>3</v>
      </c>
      <c r="F239">
        <v>37</v>
      </c>
      <c r="G239">
        <v>1</v>
      </c>
      <c r="H239">
        <v>12.33</v>
      </c>
    </row>
    <row r="240" spans="1:8">
      <c r="A240">
        <v>239</v>
      </c>
      <c r="B240">
        <v>2024</v>
      </c>
      <c r="C240" t="s">
        <v>27</v>
      </c>
      <c r="D240" t="s">
        <v>513</v>
      </c>
      <c r="E240">
        <v>2</v>
      </c>
      <c r="F240">
        <v>18</v>
      </c>
      <c r="G240">
        <v>1</v>
      </c>
      <c r="H240">
        <v>9</v>
      </c>
    </row>
    <row r="241" spans="1:8">
      <c r="A241">
        <v>240</v>
      </c>
      <c r="B241">
        <v>2023</v>
      </c>
      <c r="C241" t="s">
        <v>47</v>
      </c>
      <c r="D241" t="s">
        <v>505</v>
      </c>
      <c r="E241">
        <v>4</v>
      </c>
      <c r="F241">
        <v>17</v>
      </c>
      <c r="G241">
        <v>3</v>
      </c>
      <c r="H241">
        <v>4.25</v>
      </c>
    </row>
    <row r="242" spans="1:8">
      <c r="A242">
        <v>241</v>
      </c>
      <c r="B242">
        <v>2025</v>
      </c>
      <c r="C242" t="s">
        <v>50</v>
      </c>
      <c r="D242" t="s">
        <v>507</v>
      </c>
      <c r="E242">
        <v>2</v>
      </c>
      <c r="F242">
        <v>21</v>
      </c>
      <c r="G242">
        <v>1</v>
      </c>
      <c r="H242">
        <v>10.5</v>
      </c>
    </row>
    <row r="243" spans="1:8">
      <c r="A243">
        <v>242</v>
      </c>
      <c r="B243">
        <v>2023</v>
      </c>
      <c r="C243" t="s">
        <v>14</v>
      </c>
      <c r="D243" t="s">
        <v>41</v>
      </c>
      <c r="E243">
        <v>2</v>
      </c>
      <c r="F243">
        <v>22</v>
      </c>
      <c r="G243">
        <v>2</v>
      </c>
      <c r="H243">
        <v>11</v>
      </c>
    </row>
    <row r="244" spans="1:8">
      <c r="A244">
        <v>243</v>
      </c>
      <c r="B244">
        <v>2024</v>
      </c>
      <c r="C244" t="s">
        <v>32</v>
      </c>
      <c r="D244" t="s">
        <v>515</v>
      </c>
      <c r="E244">
        <v>4</v>
      </c>
      <c r="F244">
        <v>49</v>
      </c>
      <c r="G244">
        <v>0</v>
      </c>
      <c r="H244">
        <v>12.25</v>
      </c>
    </row>
    <row r="245" spans="1:8">
      <c r="A245">
        <v>244</v>
      </c>
      <c r="B245">
        <v>2025</v>
      </c>
      <c r="C245" t="s">
        <v>27</v>
      </c>
      <c r="D245" t="s">
        <v>512</v>
      </c>
      <c r="E245">
        <v>3</v>
      </c>
      <c r="F245">
        <v>15</v>
      </c>
      <c r="G245">
        <v>3</v>
      </c>
      <c r="H245">
        <v>5</v>
      </c>
    </row>
    <row r="246" spans="1:8">
      <c r="A246">
        <v>245</v>
      </c>
      <c r="B246">
        <v>2024</v>
      </c>
      <c r="C246" t="s">
        <v>21</v>
      </c>
      <c r="D246" t="s">
        <v>506</v>
      </c>
      <c r="E246">
        <v>2</v>
      </c>
      <c r="F246">
        <v>31</v>
      </c>
      <c r="G246">
        <v>0</v>
      </c>
      <c r="H246">
        <v>15.5</v>
      </c>
    </row>
    <row r="247" spans="1:8">
      <c r="A247">
        <v>246</v>
      </c>
      <c r="B247">
        <v>2025</v>
      </c>
      <c r="C247" t="s">
        <v>50</v>
      </c>
      <c r="D247" t="s">
        <v>508</v>
      </c>
      <c r="E247">
        <v>3</v>
      </c>
      <c r="F247">
        <v>41</v>
      </c>
      <c r="G247">
        <v>5</v>
      </c>
      <c r="H247">
        <v>13.67</v>
      </c>
    </row>
    <row r="248" spans="1:8">
      <c r="A248">
        <v>247</v>
      </c>
      <c r="B248">
        <v>2023</v>
      </c>
      <c r="C248" t="s">
        <v>21</v>
      </c>
      <c r="D248" t="s">
        <v>516</v>
      </c>
      <c r="E248">
        <v>2</v>
      </c>
      <c r="F248">
        <v>27</v>
      </c>
      <c r="G248">
        <v>0</v>
      </c>
      <c r="H248">
        <v>13.5</v>
      </c>
    </row>
    <row r="249" spans="1:8">
      <c r="A249">
        <v>248</v>
      </c>
      <c r="B249">
        <v>2025</v>
      </c>
      <c r="C249" t="s">
        <v>50</v>
      </c>
      <c r="D249" t="s">
        <v>514</v>
      </c>
      <c r="E249">
        <v>2</v>
      </c>
      <c r="F249">
        <v>16</v>
      </c>
      <c r="G249">
        <v>1</v>
      </c>
      <c r="H249">
        <v>8</v>
      </c>
    </row>
    <row r="250" spans="1:8">
      <c r="A250">
        <v>249</v>
      </c>
      <c r="B250">
        <v>2023</v>
      </c>
      <c r="C250" t="s">
        <v>36</v>
      </c>
      <c r="D250" t="s">
        <v>514</v>
      </c>
      <c r="E250">
        <v>2</v>
      </c>
      <c r="F250">
        <v>34</v>
      </c>
      <c r="G250">
        <v>4</v>
      </c>
      <c r="H250">
        <v>17</v>
      </c>
    </row>
    <row r="251" spans="1:8">
      <c r="A251">
        <v>250</v>
      </c>
      <c r="B251">
        <v>2023</v>
      </c>
      <c r="C251" t="s">
        <v>36</v>
      </c>
      <c r="D251" t="s">
        <v>514</v>
      </c>
      <c r="E251">
        <v>3</v>
      </c>
      <c r="F251">
        <v>41</v>
      </c>
      <c r="G251">
        <v>3</v>
      </c>
      <c r="H251">
        <v>13.67</v>
      </c>
    </row>
    <row r="252" spans="1:8">
      <c r="A252">
        <v>251</v>
      </c>
      <c r="B252">
        <v>2021</v>
      </c>
      <c r="C252" t="s">
        <v>56</v>
      </c>
      <c r="D252" t="s">
        <v>510</v>
      </c>
      <c r="E252">
        <v>3</v>
      </c>
      <c r="F252">
        <v>31</v>
      </c>
      <c r="G252">
        <v>2</v>
      </c>
      <c r="H252">
        <v>10.33</v>
      </c>
    </row>
    <row r="253" spans="1:8">
      <c r="A253">
        <v>252</v>
      </c>
      <c r="B253">
        <v>2022</v>
      </c>
      <c r="C253" t="s">
        <v>56</v>
      </c>
      <c r="D253" t="s">
        <v>513</v>
      </c>
      <c r="E253">
        <v>2</v>
      </c>
      <c r="F253">
        <v>33</v>
      </c>
      <c r="G253">
        <v>5</v>
      </c>
      <c r="H253">
        <v>16.5</v>
      </c>
    </row>
    <row r="254" spans="1:8">
      <c r="A254">
        <v>253</v>
      </c>
      <c r="B254">
        <v>2024</v>
      </c>
      <c r="C254" t="s">
        <v>32</v>
      </c>
      <c r="D254" t="s">
        <v>518</v>
      </c>
      <c r="E254">
        <v>4</v>
      </c>
      <c r="F254">
        <v>13</v>
      </c>
      <c r="G254">
        <v>2</v>
      </c>
      <c r="H254">
        <v>3.25</v>
      </c>
    </row>
    <row r="255" spans="1:8">
      <c r="A255">
        <v>254</v>
      </c>
      <c r="B255">
        <v>2023</v>
      </c>
      <c r="C255" t="s">
        <v>56</v>
      </c>
      <c r="D255" t="s">
        <v>514</v>
      </c>
      <c r="E255">
        <v>2</v>
      </c>
      <c r="F255">
        <v>10</v>
      </c>
      <c r="G255">
        <v>3</v>
      </c>
      <c r="H255">
        <v>5</v>
      </c>
    </row>
    <row r="256" spans="1:8">
      <c r="A256">
        <v>255</v>
      </c>
      <c r="B256">
        <v>2024</v>
      </c>
      <c r="C256" t="s">
        <v>32</v>
      </c>
      <c r="D256" t="s">
        <v>41</v>
      </c>
      <c r="E256">
        <v>2</v>
      </c>
      <c r="F256">
        <v>11</v>
      </c>
      <c r="G256">
        <v>4</v>
      </c>
      <c r="H256">
        <v>5.5</v>
      </c>
    </row>
    <row r="257" spans="1:8">
      <c r="A257">
        <v>256</v>
      </c>
      <c r="B257">
        <v>2023</v>
      </c>
      <c r="C257" t="s">
        <v>21</v>
      </c>
      <c r="D257" t="s">
        <v>507</v>
      </c>
      <c r="E257">
        <v>4</v>
      </c>
      <c r="F257">
        <v>27</v>
      </c>
      <c r="G257">
        <v>5</v>
      </c>
      <c r="H257">
        <v>6.75</v>
      </c>
    </row>
    <row r="258" spans="1:8">
      <c r="A258">
        <v>257</v>
      </c>
      <c r="B258">
        <v>2022</v>
      </c>
      <c r="C258" t="s">
        <v>22</v>
      </c>
      <c r="D258" t="s">
        <v>513</v>
      </c>
      <c r="E258">
        <v>3</v>
      </c>
      <c r="F258">
        <v>49</v>
      </c>
      <c r="G258">
        <v>5</v>
      </c>
      <c r="H258">
        <v>16.329999999999998</v>
      </c>
    </row>
    <row r="259" spans="1:8">
      <c r="A259">
        <v>258</v>
      </c>
      <c r="B259">
        <v>2022</v>
      </c>
      <c r="C259" t="s">
        <v>47</v>
      </c>
      <c r="D259" t="s">
        <v>517</v>
      </c>
      <c r="E259">
        <v>3</v>
      </c>
      <c r="F259">
        <v>22</v>
      </c>
      <c r="G259">
        <v>0</v>
      </c>
      <c r="H259">
        <v>7.33</v>
      </c>
    </row>
    <row r="260" spans="1:8">
      <c r="A260">
        <v>259</v>
      </c>
      <c r="B260">
        <v>2023</v>
      </c>
      <c r="C260" t="s">
        <v>56</v>
      </c>
      <c r="D260" t="s">
        <v>516</v>
      </c>
      <c r="E260">
        <v>4</v>
      </c>
      <c r="F260">
        <v>33</v>
      </c>
      <c r="G260">
        <v>0</v>
      </c>
      <c r="H260">
        <v>8.25</v>
      </c>
    </row>
    <row r="261" spans="1:8">
      <c r="A261">
        <v>260</v>
      </c>
      <c r="B261">
        <v>2024</v>
      </c>
      <c r="C261" t="s">
        <v>56</v>
      </c>
      <c r="D261" t="s">
        <v>509</v>
      </c>
      <c r="E261">
        <v>3</v>
      </c>
      <c r="F261">
        <v>24</v>
      </c>
      <c r="G261">
        <v>4</v>
      </c>
      <c r="H261">
        <v>8</v>
      </c>
    </row>
    <row r="262" spans="1:8">
      <c r="A262">
        <v>261</v>
      </c>
      <c r="B262">
        <v>2023</v>
      </c>
      <c r="C262" t="s">
        <v>47</v>
      </c>
      <c r="D262" t="s">
        <v>518</v>
      </c>
      <c r="E262">
        <v>4</v>
      </c>
      <c r="F262">
        <v>49</v>
      </c>
      <c r="G262">
        <v>0</v>
      </c>
      <c r="H262">
        <v>12.25</v>
      </c>
    </row>
    <row r="263" spans="1:8">
      <c r="A263">
        <v>262</v>
      </c>
      <c r="B263">
        <v>2024</v>
      </c>
      <c r="C263" t="s">
        <v>56</v>
      </c>
      <c r="D263" t="s">
        <v>518</v>
      </c>
      <c r="E263">
        <v>3</v>
      </c>
      <c r="F263">
        <v>16</v>
      </c>
      <c r="G263">
        <v>5</v>
      </c>
      <c r="H263">
        <v>5.33</v>
      </c>
    </row>
    <row r="264" spans="1:8">
      <c r="A264">
        <v>263</v>
      </c>
      <c r="B264">
        <v>2021</v>
      </c>
      <c r="C264" t="s">
        <v>32</v>
      </c>
      <c r="D264" t="s">
        <v>506</v>
      </c>
      <c r="E264">
        <v>4</v>
      </c>
      <c r="F264">
        <v>22</v>
      </c>
      <c r="G264">
        <v>5</v>
      </c>
      <c r="H264">
        <v>5.5</v>
      </c>
    </row>
    <row r="265" spans="1:8">
      <c r="A265">
        <v>264</v>
      </c>
      <c r="B265">
        <v>2022</v>
      </c>
      <c r="C265" t="s">
        <v>27</v>
      </c>
      <c r="D265" t="s">
        <v>507</v>
      </c>
      <c r="E265">
        <v>4</v>
      </c>
      <c r="F265">
        <v>46</v>
      </c>
      <c r="G265">
        <v>5</v>
      </c>
      <c r="H265">
        <v>11.5</v>
      </c>
    </row>
    <row r="266" spans="1:8">
      <c r="A266">
        <v>265</v>
      </c>
      <c r="B266">
        <v>2025</v>
      </c>
      <c r="C266" t="s">
        <v>36</v>
      </c>
      <c r="D266" t="s">
        <v>516</v>
      </c>
      <c r="E266">
        <v>2</v>
      </c>
      <c r="F266">
        <v>41</v>
      </c>
      <c r="G266">
        <v>0</v>
      </c>
      <c r="H266">
        <v>20.5</v>
      </c>
    </row>
    <row r="267" spans="1:8">
      <c r="A267">
        <v>266</v>
      </c>
      <c r="B267">
        <v>2023</v>
      </c>
      <c r="C267" t="s">
        <v>15</v>
      </c>
      <c r="D267" t="s">
        <v>507</v>
      </c>
      <c r="E267">
        <v>4</v>
      </c>
      <c r="F267">
        <v>45</v>
      </c>
      <c r="G267">
        <v>3</v>
      </c>
      <c r="H267">
        <v>11.25</v>
      </c>
    </row>
    <row r="268" spans="1:8">
      <c r="A268">
        <v>267</v>
      </c>
      <c r="B268">
        <v>2021</v>
      </c>
      <c r="C268" t="s">
        <v>27</v>
      </c>
      <c r="D268" t="s">
        <v>511</v>
      </c>
      <c r="E268">
        <v>3</v>
      </c>
      <c r="F268">
        <v>17</v>
      </c>
      <c r="G268">
        <v>3</v>
      </c>
      <c r="H268">
        <v>5.67</v>
      </c>
    </row>
    <row r="269" spans="1:8">
      <c r="A269">
        <v>268</v>
      </c>
      <c r="B269">
        <v>2021</v>
      </c>
      <c r="C269" t="s">
        <v>36</v>
      </c>
      <c r="D269" t="s">
        <v>508</v>
      </c>
      <c r="E269">
        <v>2</v>
      </c>
      <c r="F269">
        <v>23</v>
      </c>
      <c r="G269">
        <v>1</v>
      </c>
      <c r="H269">
        <v>11.5</v>
      </c>
    </row>
    <row r="270" spans="1:8">
      <c r="A270">
        <v>269</v>
      </c>
      <c r="B270">
        <v>2023</v>
      </c>
      <c r="C270" t="s">
        <v>21</v>
      </c>
      <c r="D270" t="s">
        <v>512</v>
      </c>
      <c r="E270">
        <v>3</v>
      </c>
      <c r="F270">
        <v>11</v>
      </c>
      <c r="G270">
        <v>1</v>
      </c>
      <c r="H270">
        <v>3.67</v>
      </c>
    </row>
    <row r="271" spans="1:8">
      <c r="A271">
        <v>270</v>
      </c>
      <c r="B271">
        <v>2021</v>
      </c>
      <c r="C271" t="s">
        <v>56</v>
      </c>
      <c r="D271" t="s">
        <v>511</v>
      </c>
      <c r="E271">
        <v>3</v>
      </c>
      <c r="F271">
        <v>27</v>
      </c>
      <c r="G271">
        <v>1</v>
      </c>
      <c r="H271">
        <v>9</v>
      </c>
    </row>
    <row r="272" spans="1:8">
      <c r="A272">
        <v>271</v>
      </c>
      <c r="B272">
        <v>2023</v>
      </c>
      <c r="C272" t="s">
        <v>15</v>
      </c>
      <c r="D272" t="s">
        <v>509</v>
      </c>
      <c r="E272">
        <v>3</v>
      </c>
      <c r="F272">
        <v>17</v>
      </c>
      <c r="G272">
        <v>5</v>
      </c>
      <c r="H272">
        <v>5.67</v>
      </c>
    </row>
    <row r="273" spans="1:8">
      <c r="A273">
        <v>272</v>
      </c>
      <c r="B273">
        <v>2022</v>
      </c>
      <c r="C273" t="s">
        <v>27</v>
      </c>
      <c r="D273" t="s">
        <v>511</v>
      </c>
      <c r="E273">
        <v>4</v>
      </c>
      <c r="F273">
        <v>50</v>
      </c>
      <c r="G273">
        <v>5</v>
      </c>
      <c r="H273">
        <v>12.5</v>
      </c>
    </row>
    <row r="274" spans="1:8">
      <c r="A274">
        <v>273</v>
      </c>
      <c r="B274">
        <v>2025</v>
      </c>
      <c r="C274" t="s">
        <v>47</v>
      </c>
      <c r="D274" t="s">
        <v>512</v>
      </c>
      <c r="E274">
        <v>4</v>
      </c>
      <c r="F274">
        <v>31</v>
      </c>
      <c r="G274">
        <v>1</v>
      </c>
      <c r="H274">
        <v>7.75</v>
      </c>
    </row>
    <row r="275" spans="1:8">
      <c r="A275">
        <v>274</v>
      </c>
      <c r="B275">
        <v>2024</v>
      </c>
      <c r="C275" t="s">
        <v>50</v>
      </c>
      <c r="D275" t="s">
        <v>514</v>
      </c>
      <c r="E275">
        <v>4</v>
      </c>
      <c r="F275">
        <v>14</v>
      </c>
      <c r="G275">
        <v>5</v>
      </c>
      <c r="H275">
        <v>3.5</v>
      </c>
    </row>
    <row r="276" spans="1:8">
      <c r="A276">
        <v>275</v>
      </c>
      <c r="B276">
        <v>2022</v>
      </c>
      <c r="C276" t="s">
        <v>56</v>
      </c>
      <c r="D276" t="s">
        <v>518</v>
      </c>
      <c r="E276">
        <v>4</v>
      </c>
      <c r="F276">
        <v>34</v>
      </c>
      <c r="G276">
        <v>5</v>
      </c>
      <c r="H276">
        <v>8.5</v>
      </c>
    </row>
    <row r="277" spans="1:8">
      <c r="A277">
        <v>276</v>
      </c>
      <c r="B277">
        <v>2025</v>
      </c>
      <c r="C277" t="s">
        <v>36</v>
      </c>
      <c r="D277" t="s">
        <v>507</v>
      </c>
      <c r="E277">
        <v>3</v>
      </c>
      <c r="F277">
        <v>24</v>
      </c>
      <c r="G277">
        <v>1</v>
      </c>
      <c r="H277">
        <v>8</v>
      </c>
    </row>
    <row r="278" spans="1:8">
      <c r="A278">
        <v>277</v>
      </c>
      <c r="B278">
        <v>2022</v>
      </c>
      <c r="C278" t="s">
        <v>15</v>
      </c>
      <c r="D278" t="s">
        <v>512</v>
      </c>
      <c r="E278">
        <v>3</v>
      </c>
      <c r="F278">
        <v>15</v>
      </c>
      <c r="G278">
        <v>0</v>
      </c>
      <c r="H278">
        <v>5</v>
      </c>
    </row>
    <row r="279" spans="1:8">
      <c r="A279">
        <v>278</v>
      </c>
      <c r="B279">
        <v>2025</v>
      </c>
      <c r="C279" t="s">
        <v>21</v>
      </c>
      <c r="D279" t="s">
        <v>513</v>
      </c>
      <c r="E279">
        <v>4</v>
      </c>
      <c r="F279">
        <v>47</v>
      </c>
      <c r="G279">
        <v>1</v>
      </c>
      <c r="H279">
        <v>11.75</v>
      </c>
    </row>
    <row r="280" spans="1:8">
      <c r="A280">
        <v>279</v>
      </c>
      <c r="B280">
        <v>2025</v>
      </c>
      <c r="C280" t="s">
        <v>21</v>
      </c>
      <c r="D280" t="s">
        <v>510</v>
      </c>
      <c r="E280">
        <v>3</v>
      </c>
      <c r="F280">
        <v>18</v>
      </c>
      <c r="G280">
        <v>2</v>
      </c>
      <c r="H280">
        <v>6</v>
      </c>
    </row>
    <row r="281" spans="1:8">
      <c r="A281">
        <v>280</v>
      </c>
      <c r="B281">
        <v>2025</v>
      </c>
      <c r="C281" t="s">
        <v>32</v>
      </c>
      <c r="D281" t="s">
        <v>510</v>
      </c>
      <c r="E281">
        <v>4</v>
      </c>
      <c r="F281">
        <v>10</v>
      </c>
      <c r="G281">
        <v>2</v>
      </c>
      <c r="H281">
        <v>2.5</v>
      </c>
    </row>
    <row r="282" spans="1:8">
      <c r="A282">
        <v>281</v>
      </c>
      <c r="B282">
        <v>2024</v>
      </c>
      <c r="C282" t="s">
        <v>14</v>
      </c>
      <c r="D282" t="s">
        <v>510</v>
      </c>
      <c r="E282">
        <v>4</v>
      </c>
      <c r="F282">
        <v>22</v>
      </c>
      <c r="G282">
        <v>3</v>
      </c>
      <c r="H282">
        <v>5.5</v>
      </c>
    </row>
    <row r="283" spans="1:8">
      <c r="A283">
        <v>282</v>
      </c>
      <c r="B283">
        <v>2021</v>
      </c>
      <c r="C283" t="s">
        <v>32</v>
      </c>
      <c r="D283" t="s">
        <v>513</v>
      </c>
      <c r="E283">
        <v>3</v>
      </c>
      <c r="F283">
        <v>18</v>
      </c>
      <c r="G283">
        <v>4</v>
      </c>
      <c r="H283">
        <v>6</v>
      </c>
    </row>
    <row r="284" spans="1:8">
      <c r="A284">
        <v>283</v>
      </c>
      <c r="B284">
        <v>2022</v>
      </c>
      <c r="C284" t="s">
        <v>50</v>
      </c>
      <c r="D284" t="s">
        <v>510</v>
      </c>
      <c r="E284">
        <v>2</v>
      </c>
      <c r="F284">
        <v>16</v>
      </c>
      <c r="G284">
        <v>3</v>
      </c>
      <c r="H284">
        <v>8</v>
      </c>
    </row>
    <row r="285" spans="1:8">
      <c r="A285">
        <v>284</v>
      </c>
      <c r="B285">
        <v>2021</v>
      </c>
      <c r="C285" t="s">
        <v>14</v>
      </c>
      <c r="D285" t="s">
        <v>517</v>
      </c>
      <c r="E285">
        <v>3</v>
      </c>
      <c r="F285">
        <v>30</v>
      </c>
      <c r="G285">
        <v>1</v>
      </c>
      <c r="H285">
        <v>10</v>
      </c>
    </row>
    <row r="286" spans="1:8">
      <c r="A286">
        <v>285</v>
      </c>
      <c r="B286">
        <v>2023</v>
      </c>
      <c r="C286" t="s">
        <v>15</v>
      </c>
      <c r="D286" t="s">
        <v>507</v>
      </c>
      <c r="E286">
        <v>2</v>
      </c>
      <c r="F286">
        <v>41</v>
      </c>
      <c r="G286">
        <v>5</v>
      </c>
      <c r="H286">
        <v>20.5</v>
      </c>
    </row>
    <row r="287" spans="1:8">
      <c r="A287">
        <v>286</v>
      </c>
      <c r="B287">
        <v>2021</v>
      </c>
      <c r="C287" t="s">
        <v>47</v>
      </c>
      <c r="D287" t="s">
        <v>505</v>
      </c>
      <c r="E287">
        <v>4</v>
      </c>
      <c r="F287">
        <v>28</v>
      </c>
      <c r="G287">
        <v>1</v>
      </c>
      <c r="H287">
        <v>7</v>
      </c>
    </row>
    <row r="288" spans="1:8">
      <c r="A288">
        <v>287</v>
      </c>
      <c r="B288">
        <v>2021</v>
      </c>
      <c r="C288" t="s">
        <v>14</v>
      </c>
      <c r="D288" t="s">
        <v>510</v>
      </c>
      <c r="E288">
        <v>3</v>
      </c>
      <c r="F288">
        <v>29</v>
      </c>
      <c r="G288">
        <v>4</v>
      </c>
      <c r="H288">
        <v>9.67</v>
      </c>
    </row>
    <row r="289" spans="1:8">
      <c r="A289">
        <v>288</v>
      </c>
      <c r="B289">
        <v>2024</v>
      </c>
      <c r="C289" t="s">
        <v>21</v>
      </c>
      <c r="D289" t="s">
        <v>506</v>
      </c>
      <c r="E289">
        <v>4</v>
      </c>
      <c r="F289">
        <v>46</v>
      </c>
      <c r="G289">
        <v>3</v>
      </c>
      <c r="H289">
        <v>11.5</v>
      </c>
    </row>
    <row r="290" spans="1:8">
      <c r="A290">
        <v>289</v>
      </c>
      <c r="B290">
        <v>2021</v>
      </c>
      <c r="C290" t="s">
        <v>22</v>
      </c>
      <c r="D290" t="s">
        <v>515</v>
      </c>
      <c r="E290">
        <v>3</v>
      </c>
      <c r="F290">
        <v>34</v>
      </c>
      <c r="G290">
        <v>0</v>
      </c>
      <c r="H290">
        <v>11.33</v>
      </c>
    </row>
    <row r="291" spans="1:8">
      <c r="A291">
        <v>290</v>
      </c>
      <c r="B291">
        <v>2024</v>
      </c>
      <c r="C291" t="s">
        <v>56</v>
      </c>
      <c r="D291" t="s">
        <v>505</v>
      </c>
      <c r="E291">
        <v>4</v>
      </c>
      <c r="F291">
        <v>23</v>
      </c>
      <c r="G291">
        <v>5</v>
      </c>
      <c r="H291">
        <v>5.75</v>
      </c>
    </row>
    <row r="292" spans="1:8">
      <c r="A292">
        <v>291</v>
      </c>
      <c r="B292">
        <v>2023</v>
      </c>
      <c r="C292" t="s">
        <v>22</v>
      </c>
      <c r="D292" t="s">
        <v>41</v>
      </c>
      <c r="E292">
        <v>4</v>
      </c>
      <c r="F292">
        <v>13</v>
      </c>
      <c r="G292">
        <v>1</v>
      </c>
      <c r="H292">
        <v>3.25</v>
      </c>
    </row>
    <row r="293" spans="1:8">
      <c r="A293">
        <v>292</v>
      </c>
      <c r="B293">
        <v>2021</v>
      </c>
      <c r="C293" t="s">
        <v>47</v>
      </c>
      <c r="D293" t="s">
        <v>41</v>
      </c>
      <c r="E293">
        <v>3</v>
      </c>
      <c r="F293">
        <v>29</v>
      </c>
      <c r="G293">
        <v>5</v>
      </c>
      <c r="H293">
        <v>9.67</v>
      </c>
    </row>
    <row r="294" spans="1:8">
      <c r="A294">
        <v>293</v>
      </c>
      <c r="B294">
        <v>2025</v>
      </c>
      <c r="C294" t="s">
        <v>27</v>
      </c>
      <c r="D294" t="s">
        <v>516</v>
      </c>
      <c r="E294">
        <v>4</v>
      </c>
      <c r="F294">
        <v>35</v>
      </c>
      <c r="G294">
        <v>2</v>
      </c>
      <c r="H294">
        <v>8.75</v>
      </c>
    </row>
    <row r="295" spans="1:8">
      <c r="A295">
        <v>294</v>
      </c>
      <c r="B295">
        <v>2025</v>
      </c>
      <c r="C295" t="s">
        <v>32</v>
      </c>
      <c r="D295" t="s">
        <v>509</v>
      </c>
      <c r="E295">
        <v>3</v>
      </c>
      <c r="F295">
        <v>32</v>
      </c>
      <c r="G295">
        <v>3</v>
      </c>
      <c r="H295">
        <v>10.67</v>
      </c>
    </row>
    <row r="296" spans="1:8">
      <c r="A296">
        <v>295</v>
      </c>
      <c r="B296">
        <v>2025</v>
      </c>
      <c r="C296" t="s">
        <v>32</v>
      </c>
      <c r="D296" t="s">
        <v>512</v>
      </c>
      <c r="E296">
        <v>4</v>
      </c>
      <c r="F296">
        <v>28</v>
      </c>
      <c r="G296">
        <v>2</v>
      </c>
      <c r="H296">
        <v>7</v>
      </c>
    </row>
    <row r="297" spans="1:8">
      <c r="A297">
        <v>296</v>
      </c>
      <c r="B297">
        <v>2023</v>
      </c>
      <c r="C297" t="s">
        <v>22</v>
      </c>
      <c r="D297" t="s">
        <v>41</v>
      </c>
      <c r="E297">
        <v>4</v>
      </c>
      <c r="F297">
        <v>35</v>
      </c>
      <c r="G297">
        <v>0</v>
      </c>
      <c r="H297">
        <v>8.75</v>
      </c>
    </row>
    <row r="298" spans="1:8">
      <c r="A298">
        <v>297</v>
      </c>
      <c r="B298">
        <v>2022</v>
      </c>
      <c r="C298" t="s">
        <v>27</v>
      </c>
      <c r="D298" t="s">
        <v>513</v>
      </c>
      <c r="E298">
        <v>4</v>
      </c>
      <c r="F298">
        <v>13</v>
      </c>
      <c r="G298">
        <v>5</v>
      </c>
      <c r="H298">
        <v>3.25</v>
      </c>
    </row>
    <row r="299" spans="1:8">
      <c r="A299">
        <v>298</v>
      </c>
      <c r="B299">
        <v>2022</v>
      </c>
      <c r="C299" t="s">
        <v>15</v>
      </c>
      <c r="D299" t="s">
        <v>515</v>
      </c>
      <c r="E299">
        <v>4</v>
      </c>
      <c r="F299">
        <v>20</v>
      </c>
      <c r="G299">
        <v>4</v>
      </c>
      <c r="H299">
        <v>5</v>
      </c>
    </row>
    <row r="300" spans="1:8">
      <c r="A300">
        <v>299</v>
      </c>
      <c r="B300">
        <v>2025</v>
      </c>
      <c r="C300" t="s">
        <v>27</v>
      </c>
      <c r="D300" t="s">
        <v>515</v>
      </c>
      <c r="E300">
        <v>4</v>
      </c>
      <c r="F300">
        <v>40</v>
      </c>
      <c r="G300">
        <v>2</v>
      </c>
      <c r="H300">
        <v>10</v>
      </c>
    </row>
    <row r="301" spans="1:8">
      <c r="A301">
        <v>300</v>
      </c>
      <c r="B301">
        <v>2023</v>
      </c>
      <c r="C301" t="s">
        <v>27</v>
      </c>
      <c r="D301" t="s">
        <v>508</v>
      </c>
      <c r="E301">
        <v>2</v>
      </c>
      <c r="F301">
        <v>22</v>
      </c>
      <c r="G301">
        <v>5</v>
      </c>
      <c r="H301">
        <v>11</v>
      </c>
    </row>
    <row r="302" spans="1:8">
      <c r="A302">
        <v>301</v>
      </c>
      <c r="B302">
        <v>2022</v>
      </c>
      <c r="C302" t="s">
        <v>14</v>
      </c>
      <c r="D302" t="s">
        <v>513</v>
      </c>
      <c r="E302">
        <v>4</v>
      </c>
      <c r="F302">
        <v>46</v>
      </c>
      <c r="G302">
        <v>0</v>
      </c>
      <c r="H302">
        <v>11.5</v>
      </c>
    </row>
    <row r="303" spans="1:8">
      <c r="A303">
        <v>302</v>
      </c>
      <c r="B303">
        <v>2025</v>
      </c>
      <c r="C303" t="s">
        <v>27</v>
      </c>
      <c r="D303" t="s">
        <v>518</v>
      </c>
      <c r="E303">
        <v>3</v>
      </c>
      <c r="F303">
        <v>20</v>
      </c>
      <c r="G303">
        <v>0</v>
      </c>
      <c r="H303">
        <v>6.67</v>
      </c>
    </row>
    <row r="304" spans="1:8">
      <c r="A304">
        <v>303</v>
      </c>
      <c r="B304">
        <v>2021</v>
      </c>
      <c r="C304" t="s">
        <v>21</v>
      </c>
      <c r="D304" t="s">
        <v>513</v>
      </c>
      <c r="E304">
        <v>3</v>
      </c>
      <c r="F304">
        <v>21</v>
      </c>
      <c r="G304">
        <v>0</v>
      </c>
      <c r="H304">
        <v>7</v>
      </c>
    </row>
    <row r="305" spans="1:8">
      <c r="A305">
        <v>304</v>
      </c>
      <c r="B305">
        <v>2023</v>
      </c>
      <c r="C305" t="s">
        <v>21</v>
      </c>
      <c r="D305" t="s">
        <v>517</v>
      </c>
      <c r="E305">
        <v>4</v>
      </c>
      <c r="F305">
        <v>31</v>
      </c>
      <c r="G305">
        <v>4</v>
      </c>
      <c r="H305">
        <v>7.75</v>
      </c>
    </row>
    <row r="306" spans="1:8">
      <c r="A306">
        <v>305</v>
      </c>
      <c r="B306">
        <v>2022</v>
      </c>
      <c r="C306" t="s">
        <v>32</v>
      </c>
      <c r="D306" t="s">
        <v>505</v>
      </c>
      <c r="E306">
        <v>4</v>
      </c>
      <c r="F306">
        <v>35</v>
      </c>
      <c r="G306">
        <v>1</v>
      </c>
      <c r="H306">
        <v>8.75</v>
      </c>
    </row>
    <row r="307" spans="1:8">
      <c r="A307">
        <v>306</v>
      </c>
      <c r="B307">
        <v>2022</v>
      </c>
      <c r="C307" t="s">
        <v>14</v>
      </c>
      <c r="D307" t="s">
        <v>512</v>
      </c>
      <c r="E307">
        <v>2</v>
      </c>
      <c r="F307">
        <v>35</v>
      </c>
      <c r="G307">
        <v>3</v>
      </c>
      <c r="H307">
        <v>17.5</v>
      </c>
    </row>
    <row r="308" spans="1:8">
      <c r="A308">
        <v>307</v>
      </c>
      <c r="B308">
        <v>2023</v>
      </c>
      <c r="C308" t="s">
        <v>15</v>
      </c>
      <c r="D308" t="s">
        <v>41</v>
      </c>
      <c r="E308">
        <v>4</v>
      </c>
      <c r="F308">
        <v>21</v>
      </c>
      <c r="G308">
        <v>5</v>
      </c>
      <c r="H308">
        <v>5.25</v>
      </c>
    </row>
    <row r="309" spans="1:8">
      <c r="A309">
        <v>308</v>
      </c>
      <c r="B309">
        <v>2024</v>
      </c>
      <c r="C309" t="s">
        <v>32</v>
      </c>
      <c r="D309" t="s">
        <v>514</v>
      </c>
      <c r="E309">
        <v>4</v>
      </c>
      <c r="F309">
        <v>15</v>
      </c>
      <c r="G309">
        <v>3</v>
      </c>
      <c r="H309">
        <v>3.75</v>
      </c>
    </row>
    <row r="310" spans="1:8">
      <c r="A310">
        <v>309</v>
      </c>
      <c r="B310">
        <v>2021</v>
      </c>
      <c r="C310" t="s">
        <v>32</v>
      </c>
      <c r="D310" t="s">
        <v>506</v>
      </c>
      <c r="E310">
        <v>4</v>
      </c>
      <c r="F310">
        <v>38</v>
      </c>
      <c r="G310">
        <v>2</v>
      </c>
      <c r="H310">
        <v>9.5</v>
      </c>
    </row>
    <row r="311" spans="1:8">
      <c r="A311">
        <v>310</v>
      </c>
      <c r="B311">
        <v>2023</v>
      </c>
      <c r="C311" t="s">
        <v>14</v>
      </c>
      <c r="D311" t="s">
        <v>512</v>
      </c>
      <c r="E311">
        <v>2</v>
      </c>
      <c r="F311">
        <v>15</v>
      </c>
      <c r="G311">
        <v>0</v>
      </c>
      <c r="H311">
        <v>7.5</v>
      </c>
    </row>
    <row r="312" spans="1:8">
      <c r="A312">
        <v>311</v>
      </c>
      <c r="B312">
        <v>2022</v>
      </c>
      <c r="C312" t="s">
        <v>47</v>
      </c>
      <c r="D312" t="s">
        <v>509</v>
      </c>
      <c r="E312">
        <v>4</v>
      </c>
      <c r="F312">
        <v>42</v>
      </c>
      <c r="G312">
        <v>1</v>
      </c>
      <c r="H312">
        <v>10.5</v>
      </c>
    </row>
    <row r="313" spans="1:8">
      <c r="A313">
        <v>312</v>
      </c>
      <c r="B313">
        <v>2022</v>
      </c>
      <c r="C313" t="s">
        <v>14</v>
      </c>
      <c r="D313" t="s">
        <v>510</v>
      </c>
      <c r="E313">
        <v>4</v>
      </c>
      <c r="F313">
        <v>46</v>
      </c>
      <c r="G313">
        <v>3</v>
      </c>
      <c r="H313">
        <v>11.5</v>
      </c>
    </row>
    <row r="314" spans="1:8">
      <c r="A314">
        <v>313</v>
      </c>
      <c r="B314">
        <v>2024</v>
      </c>
      <c r="C314" t="s">
        <v>15</v>
      </c>
      <c r="D314" t="s">
        <v>41</v>
      </c>
      <c r="E314">
        <v>4</v>
      </c>
      <c r="F314">
        <v>16</v>
      </c>
      <c r="G314">
        <v>4</v>
      </c>
      <c r="H314">
        <v>4</v>
      </c>
    </row>
    <row r="315" spans="1:8">
      <c r="A315">
        <v>314</v>
      </c>
      <c r="B315">
        <v>2024</v>
      </c>
      <c r="C315" t="s">
        <v>27</v>
      </c>
      <c r="D315" t="s">
        <v>518</v>
      </c>
      <c r="E315">
        <v>3</v>
      </c>
      <c r="F315">
        <v>37</v>
      </c>
      <c r="G315">
        <v>2</v>
      </c>
      <c r="H315">
        <v>12.33</v>
      </c>
    </row>
    <row r="316" spans="1:8">
      <c r="A316">
        <v>315</v>
      </c>
      <c r="B316">
        <v>2021</v>
      </c>
      <c r="C316" t="s">
        <v>50</v>
      </c>
      <c r="D316" t="s">
        <v>505</v>
      </c>
      <c r="E316">
        <v>2</v>
      </c>
      <c r="F316">
        <v>30</v>
      </c>
      <c r="G316">
        <v>0</v>
      </c>
      <c r="H316">
        <v>15</v>
      </c>
    </row>
    <row r="317" spans="1:8">
      <c r="A317">
        <v>316</v>
      </c>
      <c r="B317">
        <v>2024</v>
      </c>
      <c r="C317" t="s">
        <v>36</v>
      </c>
      <c r="D317" t="s">
        <v>505</v>
      </c>
      <c r="E317">
        <v>3</v>
      </c>
      <c r="F317">
        <v>11</v>
      </c>
      <c r="G317">
        <v>3</v>
      </c>
      <c r="H317">
        <v>3.67</v>
      </c>
    </row>
    <row r="318" spans="1:8">
      <c r="A318">
        <v>317</v>
      </c>
      <c r="B318">
        <v>2023</v>
      </c>
      <c r="C318" t="s">
        <v>36</v>
      </c>
      <c r="D318" t="s">
        <v>507</v>
      </c>
      <c r="E318">
        <v>4</v>
      </c>
      <c r="F318">
        <v>43</v>
      </c>
      <c r="G318">
        <v>3</v>
      </c>
      <c r="H318">
        <v>10.75</v>
      </c>
    </row>
    <row r="319" spans="1:8">
      <c r="A319">
        <v>318</v>
      </c>
      <c r="B319">
        <v>2021</v>
      </c>
      <c r="C319" t="s">
        <v>21</v>
      </c>
      <c r="D319" t="s">
        <v>517</v>
      </c>
      <c r="E319">
        <v>4</v>
      </c>
      <c r="F319">
        <v>44</v>
      </c>
      <c r="G319">
        <v>5</v>
      </c>
      <c r="H319">
        <v>11</v>
      </c>
    </row>
    <row r="320" spans="1:8">
      <c r="A320">
        <v>319</v>
      </c>
      <c r="B320">
        <v>2024</v>
      </c>
      <c r="C320" t="s">
        <v>21</v>
      </c>
      <c r="D320" t="s">
        <v>514</v>
      </c>
      <c r="E320">
        <v>2</v>
      </c>
      <c r="F320">
        <v>17</v>
      </c>
      <c r="G320">
        <v>1</v>
      </c>
      <c r="H320">
        <v>8.5</v>
      </c>
    </row>
    <row r="321" spans="1:8">
      <c r="A321">
        <v>320</v>
      </c>
      <c r="B321">
        <v>2023</v>
      </c>
      <c r="C321" t="s">
        <v>50</v>
      </c>
      <c r="D321" t="s">
        <v>41</v>
      </c>
      <c r="E321">
        <v>2</v>
      </c>
      <c r="F321">
        <v>10</v>
      </c>
      <c r="G321">
        <v>4</v>
      </c>
      <c r="H321">
        <v>5</v>
      </c>
    </row>
    <row r="322" spans="1:8">
      <c r="A322">
        <v>321</v>
      </c>
      <c r="B322">
        <v>2025</v>
      </c>
      <c r="C322" t="s">
        <v>47</v>
      </c>
      <c r="D322" t="s">
        <v>514</v>
      </c>
      <c r="E322">
        <v>3</v>
      </c>
      <c r="F322">
        <v>17</v>
      </c>
      <c r="G322">
        <v>0</v>
      </c>
      <c r="H322">
        <v>5.67</v>
      </c>
    </row>
    <row r="323" spans="1:8">
      <c r="A323">
        <v>322</v>
      </c>
      <c r="B323">
        <v>2023</v>
      </c>
      <c r="C323" t="s">
        <v>27</v>
      </c>
      <c r="D323" t="s">
        <v>510</v>
      </c>
      <c r="E323">
        <v>2</v>
      </c>
      <c r="F323">
        <v>20</v>
      </c>
      <c r="G323">
        <v>0</v>
      </c>
      <c r="H323">
        <v>10</v>
      </c>
    </row>
    <row r="324" spans="1:8">
      <c r="A324">
        <v>323</v>
      </c>
      <c r="B324">
        <v>2025</v>
      </c>
      <c r="C324" t="s">
        <v>36</v>
      </c>
      <c r="D324" t="s">
        <v>506</v>
      </c>
      <c r="E324">
        <v>2</v>
      </c>
      <c r="F324">
        <v>15</v>
      </c>
      <c r="G324">
        <v>0</v>
      </c>
      <c r="H324">
        <v>7.5</v>
      </c>
    </row>
    <row r="325" spans="1:8">
      <c r="A325">
        <v>324</v>
      </c>
      <c r="B325">
        <v>2025</v>
      </c>
      <c r="C325" t="s">
        <v>36</v>
      </c>
      <c r="D325" t="s">
        <v>506</v>
      </c>
      <c r="E325">
        <v>3</v>
      </c>
      <c r="F325">
        <v>44</v>
      </c>
      <c r="G325">
        <v>1</v>
      </c>
      <c r="H325">
        <v>14.67</v>
      </c>
    </row>
    <row r="326" spans="1:8">
      <c r="A326">
        <v>325</v>
      </c>
      <c r="B326">
        <v>2021</v>
      </c>
      <c r="C326" t="s">
        <v>32</v>
      </c>
      <c r="D326" t="s">
        <v>509</v>
      </c>
      <c r="E326">
        <v>2</v>
      </c>
      <c r="F326">
        <v>25</v>
      </c>
      <c r="G326">
        <v>2</v>
      </c>
      <c r="H326">
        <v>12.5</v>
      </c>
    </row>
    <row r="327" spans="1:8">
      <c r="A327">
        <v>326</v>
      </c>
      <c r="B327">
        <v>2023</v>
      </c>
      <c r="C327" t="s">
        <v>14</v>
      </c>
      <c r="D327" t="s">
        <v>517</v>
      </c>
      <c r="E327">
        <v>3</v>
      </c>
      <c r="F327">
        <v>44</v>
      </c>
      <c r="G327">
        <v>3</v>
      </c>
      <c r="H327">
        <v>14.67</v>
      </c>
    </row>
    <row r="328" spans="1:8">
      <c r="A328">
        <v>327</v>
      </c>
      <c r="B328">
        <v>2021</v>
      </c>
      <c r="C328" t="s">
        <v>27</v>
      </c>
      <c r="D328" t="s">
        <v>510</v>
      </c>
      <c r="E328">
        <v>3</v>
      </c>
      <c r="F328">
        <v>30</v>
      </c>
      <c r="G328">
        <v>4</v>
      </c>
      <c r="H328">
        <v>10</v>
      </c>
    </row>
    <row r="329" spans="1:8">
      <c r="A329">
        <v>328</v>
      </c>
      <c r="B329">
        <v>2024</v>
      </c>
      <c r="C329" t="s">
        <v>56</v>
      </c>
      <c r="D329" t="s">
        <v>510</v>
      </c>
      <c r="E329">
        <v>4</v>
      </c>
      <c r="F329">
        <v>42</v>
      </c>
      <c r="G329">
        <v>1</v>
      </c>
      <c r="H329">
        <v>10.5</v>
      </c>
    </row>
    <row r="330" spans="1:8">
      <c r="A330">
        <v>329</v>
      </c>
      <c r="B330">
        <v>2025</v>
      </c>
      <c r="C330" t="s">
        <v>21</v>
      </c>
      <c r="D330" t="s">
        <v>509</v>
      </c>
      <c r="E330">
        <v>2</v>
      </c>
      <c r="F330">
        <v>25</v>
      </c>
      <c r="G330">
        <v>0</v>
      </c>
      <c r="H330">
        <v>12.5</v>
      </c>
    </row>
    <row r="331" spans="1:8">
      <c r="A331">
        <v>330</v>
      </c>
      <c r="B331">
        <v>2021</v>
      </c>
      <c r="C331" t="s">
        <v>22</v>
      </c>
      <c r="D331" t="s">
        <v>505</v>
      </c>
      <c r="E331">
        <v>3</v>
      </c>
      <c r="F331">
        <v>23</v>
      </c>
      <c r="G331">
        <v>1</v>
      </c>
      <c r="H331">
        <v>7.67</v>
      </c>
    </row>
    <row r="332" spans="1:8">
      <c r="A332">
        <v>331</v>
      </c>
      <c r="B332">
        <v>2024</v>
      </c>
      <c r="C332" t="s">
        <v>50</v>
      </c>
      <c r="D332" t="s">
        <v>517</v>
      </c>
      <c r="E332">
        <v>2</v>
      </c>
      <c r="F332">
        <v>47</v>
      </c>
      <c r="G332">
        <v>2</v>
      </c>
      <c r="H332">
        <v>23.5</v>
      </c>
    </row>
    <row r="333" spans="1:8">
      <c r="A333">
        <v>332</v>
      </c>
      <c r="B333">
        <v>2022</v>
      </c>
      <c r="C333" t="s">
        <v>15</v>
      </c>
      <c r="D333" t="s">
        <v>505</v>
      </c>
      <c r="E333">
        <v>4</v>
      </c>
      <c r="F333">
        <v>49</v>
      </c>
      <c r="G333">
        <v>3</v>
      </c>
      <c r="H333">
        <v>12.25</v>
      </c>
    </row>
    <row r="334" spans="1:8">
      <c r="A334">
        <v>333</v>
      </c>
      <c r="B334">
        <v>2024</v>
      </c>
      <c r="C334" t="s">
        <v>21</v>
      </c>
      <c r="D334" t="s">
        <v>517</v>
      </c>
      <c r="E334">
        <v>3</v>
      </c>
      <c r="F334">
        <v>26</v>
      </c>
      <c r="G334">
        <v>3</v>
      </c>
      <c r="H334">
        <v>8.67</v>
      </c>
    </row>
    <row r="335" spans="1:8">
      <c r="A335">
        <v>334</v>
      </c>
      <c r="B335">
        <v>2024</v>
      </c>
      <c r="C335" t="s">
        <v>27</v>
      </c>
      <c r="D335" t="s">
        <v>518</v>
      </c>
      <c r="E335">
        <v>3</v>
      </c>
      <c r="F335">
        <v>15</v>
      </c>
      <c r="G335">
        <v>2</v>
      </c>
      <c r="H335">
        <v>5</v>
      </c>
    </row>
    <row r="336" spans="1:8">
      <c r="A336">
        <v>335</v>
      </c>
      <c r="B336">
        <v>2023</v>
      </c>
      <c r="C336" t="s">
        <v>32</v>
      </c>
      <c r="D336" t="s">
        <v>41</v>
      </c>
      <c r="E336">
        <v>2</v>
      </c>
      <c r="F336">
        <v>44</v>
      </c>
      <c r="G336">
        <v>1</v>
      </c>
      <c r="H336">
        <v>22</v>
      </c>
    </row>
    <row r="337" spans="1:8">
      <c r="A337">
        <v>336</v>
      </c>
      <c r="B337">
        <v>2024</v>
      </c>
      <c r="C337" t="s">
        <v>21</v>
      </c>
      <c r="D337" t="s">
        <v>509</v>
      </c>
      <c r="E337">
        <v>4</v>
      </c>
      <c r="F337">
        <v>27</v>
      </c>
      <c r="G337">
        <v>5</v>
      </c>
      <c r="H337">
        <v>6.75</v>
      </c>
    </row>
    <row r="338" spans="1:8">
      <c r="A338">
        <v>337</v>
      </c>
      <c r="B338">
        <v>2021</v>
      </c>
      <c r="C338" t="s">
        <v>22</v>
      </c>
      <c r="D338" t="s">
        <v>41</v>
      </c>
      <c r="E338">
        <v>3</v>
      </c>
      <c r="F338">
        <v>46</v>
      </c>
      <c r="G338">
        <v>5</v>
      </c>
      <c r="H338">
        <v>15.33</v>
      </c>
    </row>
    <row r="339" spans="1:8">
      <c r="A339">
        <v>338</v>
      </c>
      <c r="B339">
        <v>2022</v>
      </c>
      <c r="C339" t="s">
        <v>36</v>
      </c>
      <c r="D339" t="s">
        <v>510</v>
      </c>
      <c r="E339">
        <v>2</v>
      </c>
      <c r="F339">
        <v>36</v>
      </c>
      <c r="G339">
        <v>1</v>
      </c>
      <c r="H339">
        <v>18</v>
      </c>
    </row>
    <row r="340" spans="1:8">
      <c r="A340">
        <v>339</v>
      </c>
      <c r="B340">
        <v>2024</v>
      </c>
      <c r="C340" t="s">
        <v>56</v>
      </c>
      <c r="D340" t="s">
        <v>514</v>
      </c>
      <c r="E340">
        <v>3</v>
      </c>
      <c r="F340">
        <v>34</v>
      </c>
      <c r="G340">
        <v>0</v>
      </c>
      <c r="H340">
        <v>11.33</v>
      </c>
    </row>
    <row r="341" spans="1:8">
      <c r="A341">
        <v>340</v>
      </c>
      <c r="B341">
        <v>2024</v>
      </c>
      <c r="C341" t="s">
        <v>50</v>
      </c>
      <c r="D341" t="s">
        <v>508</v>
      </c>
      <c r="E341">
        <v>2</v>
      </c>
      <c r="F341">
        <v>27</v>
      </c>
      <c r="G341">
        <v>0</v>
      </c>
      <c r="H341">
        <v>13.5</v>
      </c>
    </row>
    <row r="342" spans="1:8">
      <c r="A342">
        <v>341</v>
      </c>
      <c r="B342">
        <v>2021</v>
      </c>
      <c r="C342" t="s">
        <v>36</v>
      </c>
      <c r="D342" t="s">
        <v>512</v>
      </c>
      <c r="E342">
        <v>4</v>
      </c>
      <c r="F342">
        <v>45</v>
      </c>
      <c r="G342">
        <v>3</v>
      </c>
      <c r="H342">
        <v>11.25</v>
      </c>
    </row>
    <row r="343" spans="1:8">
      <c r="A343">
        <v>342</v>
      </c>
      <c r="B343">
        <v>2021</v>
      </c>
      <c r="C343" t="s">
        <v>21</v>
      </c>
      <c r="D343" t="s">
        <v>513</v>
      </c>
      <c r="E343">
        <v>4</v>
      </c>
      <c r="F343">
        <v>15</v>
      </c>
      <c r="G343">
        <v>2</v>
      </c>
      <c r="H343">
        <v>3.75</v>
      </c>
    </row>
    <row r="344" spans="1:8">
      <c r="A344">
        <v>343</v>
      </c>
      <c r="B344">
        <v>2023</v>
      </c>
      <c r="C344" t="s">
        <v>56</v>
      </c>
      <c r="D344" t="s">
        <v>514</v>
      </c>
      <c r="E344">
        <v>3</v>
      </c>
      <c r="F344">
        <v>19</v>
      </c>
      <c r="G344">
        <v>1</v>
      </c>
      <c r="H344">
        <v>6.33</v>
      </c>
    </row>
    <row r="345" spans="1:8">
      <c r="A345">
        <v>344</v>
      </c>
      <c r="B345">
        <v>2025</v>
      </c>
      <c r="C345" t="s">
        <v>15</v>
      </c>
      <c r="D345" t="s">
        <v>516</v>
      </c>
      <c r="E345">
        <v>2</v>
      </c>
      <c r="F345">
        <v>34</v>
      </c>
      <c r="G345">
        <v>1</v>
      </c>
      <c r="H345">
        <v>17</v>
      </c>
    </row>
    <row r="346" spans="1:8">
      <c r="A346">
        <v>345</v>
      </c>
      <c r="B346">
        <v>2023</v>
      </c>
      <c r="C346" t="s">
        <v>32</v>
      </c>
      <c r="D346" t="s">
        <v>512</v>
      </c>
      <c r="E346">
        <v>2</v>
      </c>
      <c r="F346">
        <v>21</v>
      </c>
      <c r="G346">
        <v>4</v>
      </c>
      <c r="H346">
        <v>10.5</v>
      </c>
    </row>
    <row r="347" spans="1:8">
      <c r="A347">
        <v>346</v>
      </c>
      <c r="B347">
        <v>2025</v>
      </c>
      <c r="C347" t="s">
        <v>15</v>
      </c>
      <c r="D347" t="s">
        <v>510</v>
      </c>
      <c r="E347">
        <v>3</v>
      </c>
      <c r="F347">
        <v>16</v>
      </c>
      <c r="G347">
        <v>4</v>
      </c>
      <c r="H347">
        <v>5.33</v>
      </c>
    </row>
    <row r="348" spans="1:8">
      <c r="A348">
        <v>347</v>
      </c>
      <c r="B348">
        <v>2021</v>
      </c>
      <c r="C348" t="s">
        <v>56</v>
      </c>
      <c r="D348" t="s">
        <v>41</v>
      </c>
      <c r="E348">
        <v>4</v>
      </c>
      <c r="F348">
        <v>28</v>
      </c>
      <c r="G348">
        <v>4</v>
      </c>
      <c r="H348">
        <v>7</v>
      </c>
    </row>
    <row r="349" spans="1:8">
      <c r="A349">
        <v>348</v>
      </c>
      <c r="B349">
        <v>2023</v>
      </c>
      <c r="C349" t="s">
        <v>15</v>
      </c>
      <c r="D349" t="s">
        <v>510</v>
      </c>
      <c r="E349">
        <v>2</v>
      </c>
      <c r="F349">
        <v>13</v>
      </c>
      <c r="G349">
        <v>1</v>
      </c>
      <c r="H349">
        <v>6.5</v>
      </c>
    </row>
    <row r="350" spans="1:8">
      <c r="A350">
        <v>349</v>
      </c>
      <c r="B350">
        <v>2023</v>
      </c>
      <c r="C350" t="s">
        <v>56</v>
      </c>
      <c r="D350" t="s">
        <v>514</v>
      </c>
      <c r="E350">
        <v>3</v>
      </c>
      <c r="F350">
        <v>21</v>
      </c>
      <c r="G350">
        <v>2</v>
      </c>
      <c r="H350">
        <v>7</v>
      </c>
    </row>
    <row r="351" spans="1:8">
      <c r="A351">
        <v>350</v>
      </c>
      <c r="B351">
        <v>2025</v>
      </c>
      <c r="C351" t="s">
        <v>36</v>
      </c>
      <c r="D351" t="s">
        <v>517</v>
      </c>
      <c r="E351">
        <v>4</v>
      </c>
      <c r="F351">
        <v>35</v>
      </c>
      <c r="G351">
        <v>3</v>
      </c>
      <c r="H351">
        <v>8.75</v>
      </c>
    </row>
    <row r="352" spans="1:8">
      <c r="A352">
        <v>351</v>
      </c>
      <c r="B352">
        <v>2022</v>
      </c>
      <c r="C352" t="s">
        <v>50</v>
      </c>
      <c r="D352" t="s">
        <v>505</v>
      </c>
      <c r="E352">
        <v>3</v>
      </c>
      <c r="F352">
        <v>10</v>
      </c>
      <c r="G352">
        <v>5</v>
      </c>
      <c r="H352">
        <v>3.33</v>
      </c>
    </row>
    <row r="353" spans="1:8">
      <c r="A353">
        <v>352</v>
      </c>
      <c r="B353">
        <v>2023</v>
      </c>
      <c r="C353" t="s">
        <v>36</v>
      </c>
      <c r="D353" t="s">
        <v>41</v>
      </c>
      <c r="E353">
        <v>2</v>
      </c>
      <c r="F353">
        <v>18</v>
      </c>
      <c r="G353">
        <v>1</v>
      </c>
      <c r="H353">
        <v>9</v>
      </c>
    </row>
    <row r="354" spans="1:8">
      <c r="A354">
        <v>353</v>
      </c>
      <c r="B354">
        <v>2022</v>
      </c>
      <c r="C354" t="s">
        <v>32</v>
      </c>
      <c r="D354" t="s">
        <v>510</v>
      </c>
      <c r="E354">
        <v>4</v>
      </c>
      <c r="F354">
        <v>27</v>
      </c>
      <c r="G354">
        <v>0</v>
      </c>
      <c r="H354">
        <v>6.75</v>
      </c>
    </row>
    <row r="355" spans="1:8">
      <c r="A355">
        <v>354</v>
      </c>
      <c r="B355">
        <v>2021</v>
      </c>
      <c r="C355" t="s">
        <v>56</v>
      </c>
      <c r="D355" t="s">
        <v>41</v>
      </c>
      <c r="E355">
        <v>2</v>
      </c>
      <c r="F355">
        <v>48</v>
      </c>
      <c r="G355">
        <v>3</v>
      </c>
      <c r="H355">
        <v>24</v>
      </c>
    </row>
    <row r="356" spans="1:8">
      <c r="A356">
        <v>355</v>
      </c>
      <c r="B356">
        <v>2022</v>
      </c>
      <c r="C356" t="s">
        <v>47</v>
      </c>
      <c r="D356" t="s">
        <v>505</v>
      </c>
      <c r="E356">
        <v>3</v>
      </c>
      <c r="F356">
        <v>32</v>
      </c>
      <c r="G356">
        <v>3</v>
      </c>
      <c r="H356">
        <v>10.67</v>
      </c>
    </row>
    <row r="357" spans="1:8">
      <c r="A357">
        <v>356</v>
      </c>
      <c r="B357">
        <v>2021</v>
      </c>
      <c r="C357" t="s">
        <v>36</v>
      </c>
      <c r="D357" t="s">
        <v>506</v>
      </c>
      <c r="E357">
        <v>3</v>
      </c>
      <c r="F357">
        <v>37</v>
      </c>
      <c r="G357">
        <v>4</v>
      </c>
      <c r="H357">
        <v>12.33</v>
      </c>
    </row>
    <row r="358" spans="1:8">
      <c r="A358">
        <v>357</v>
      </c>
      <c r="B358">
        <v>2022</v>
      </c>
      <c r="C358" t="s">
        <v>22</v>
      </c>
      <c r="D358" t="s">
        <v>506</v>
      </c>
      <c r="E358">
        <v>4</v>
      </c>
      <c r="F358">
        <v>15</v>
      </c>
      <c r="G358">
        <v>2</v>
      </c>
      <c r="H358">
        <v>3.75</v>
      </c>
    </row>
    <row r="359" spans="1:8">
      <c r="A359">
        <v>358</v>
      </c>
      <c r="B359">
        <v>2025</v>
      </c>
      <c r="C359" t="s">
        <v>32</v>
      </c>
      <c r="D359" t="s">
        <v>514</v>
      </c>
      <c r="E359">
        <v>3</v>
      </c>
      <c r="F359">
        <v>15</v>
      </c>
      <c r="G359">
        <v>5</v>
      </c>
      <c r="H359">
        <v>5</v>
      </c>
    </row>
    <row r="360" spans="1:8">
      <c r="A360">
        <v>359</v>
      </c>
      <c r="B360">
        <v>2021</v>
      </c>
      <c r="C360" t="s">
        <v>21</v>
      </c>
      <c r="D360" t="s">
        <v>512</v>
      </c>
      <c r="E360">
        <v>4</v>
      </c>
      <c r="F360">
        <v>25</v>
      </c>
      <c r="G360">
        <v>0</v>
      </c>
      <c r="H360">
        <v>6.25</v>
      </c>
    </row>
    <row r="361" spans="1:8">
      <c r="A361">
        <v>360</v>
      </c>
      <c r="B361">
        <v>2022</v>
      </c>
      <c r="C361" t="s">
        <v>27</v>
      </c>
      <c r="D361" t="s">
        <v>510</v>
      </c>
      <c r="E361">
        <v>2</v>
      </c>
      <c r="F361">
        <v>15</v>
      </c>
      <c r="G361">
        <v>5</v>
      </c>
      <c r="H361">
        <v>7.5</v>
      </c>
    </row>
    <row r="362" spans="1:8">
      <c r="A362">
        <v>361</v>
      </c>
      <c r="B362">
        <v>2022</v>
      </c>
      <c r="C362" t="s">
        <v>15</v>
      </c>
      <c r="D362" t="s">
        <v>517</v>
      </c>
      <c r="E362">
        <v>3</v>
      </c>
      <c r="F362">
        <v>10</v>
      </c>
      <c r="G362">
        <v>3</v>
      </c>
      <c r="H362">
        <v>3.33</v>
      </c>
    </row>
    <row r="363" spans="1:8">
      <c r="A363">
        <v>362</v>
      </c>
      <c r="B363">
        <v>2023</v>
      </c>
      <c r="C363" t="s">
        <v>36</v>
      </c>
      <c r="D363" t="s">
        <v>511</v>
      </c>
      <c r="E363">
        <v>4</v>
      </c>
      <c r="F363">
        <v>18</v>
      </c>
      <c r="G363">
        <v>3</v>
      </c>
      <c r="H363">
        <v>4.5</v>
      </c>
    </row>
    <row r="364" spans="1:8">
      <c r="A364">
        <v>363</v>
      </c>
      <c r="B364">
        <v>2024</v>
      </c>
      <c r="C364" t="s">
        <v>47</v>
      </c>
      <c r="D364" t="s">
        <v>517</v>
      </c>
      <c r="E364">
        <v>4</v>
      </c>
      <c r="F364">
        <v>44</v>
      </c>
      <c r="G364">
        <v>5</v>
      </c>
      <c r="H364">
        <v>11</v>
      </c>
    </row>
    <row r="365" spans="1:8">
      <c r="A365">
        <v>364</v>
      </c>
      <c r="B365">
        <v>2025</v>
      </c>
      <c r="C365" t="s">
        <v>21</v>
      </c>
      <c r="D365" t="s">
        <v>518</v>
      </c>
      <c r="E365">
        <v>2</v>
      </c>
      <c r="F365">
        <v>49</v>
      </c>
      <c r="G365">
        <v>1</v>
      </c>
      <c r="H365">
        <v>24.5</v>
      </c>
    </row>
    <row r="366" spans="1:8">
      <c r="A366">
        <v>365</v>
      </c>
      <c r="B366">
        <v>2022</v>
      </c>
      <c r="C366" t="s">
        <v>14</v>
      </c>
      <c r="D366" t="s">
        <v>41</v>
      </c>
      <c r="E366">
        <v>3</v>
      </c>
      <c r="F366">
        <v>44</v>
      </c>
      <c r="G366">
        <v>5</v>
      </c>
      <c r="H366">
        <v>14.67</v>
      </c>
    </row>
    <row r="367" spans="1:8">
      <c r="A367">
        <v>366</v>
      </c>
      <c r="B367">
        <v>2022</v>
      </c>
      <c r="C367" t="s">
        <v>56</v>
      </c>
      <c r="D367" t="s">
        <v>508</v>
      </c>
      <c r="E367">
        <v>4</v>
      </c>
      <c r="F367">
        <v>43</v>
      </c>
      <c r="G367">
        <v>5</v>
      </c>
      <c r="H367">
        <v>10.75</v>
      </c>
    </row>
    <row r="368" spans="1:8">
      <c r="A368">
        <v>367</v>
      </c>
      <c r="B368">
        <v>2024</v>
      </c>
      <c r="C368" t="s">
        <v>50</v>
      </c>
      <c r="D368" t="s">
        <v>516</v>
      </c>
      <c r="E368">
        <v>4</v>
      </c>
      <c r="F368">
        <v>38</v>
      </c>
      <c r="G368">
        <v>1</v>
      </c>
      <c r="H368">
        <v>9.5</v>
      </c>
    </row>
    <row r="369" spans="1:8">
      <c r="A369">
        <v>368</v>
      </c>
      <c r="B369">
        <v>2021</v>
      </c>
      <c r="C369" t="s">
        <v>36</v>
      </c>
      <c r="D369" t="s">
        <v>511</v>
      </c>
      <c r="E369">
        <v>2</v>
      </c>
      <c r="F369">
        <v>21</v>
      </c>
      <c r="G369">
        <v>0</v>
      </c>
      <c r="H369">
        <v>10.5</v>
      </c>
    </row>
    <row r="370" spans="1:8">
      <c r="A370">
        <v>369</v>
      </c>
      <c r="B370">
        <v>2022</v>
      </c>
      <c r="C370" t="s">
        <v>56</v>
      </c>
      <c r="D370" t="s">
        <v>507</v>
      </c>
      <c r="E370">
        <v>2</v>
      </c>
      <c r="F370">
        <v>42</v>
      </c>
      <c r="G370">
        <v>2</v>
      </c>
      <c r="H370">
        <v>21</v>
      </c>
    </row>
    <row r="371" spans="1:8">
      <c r="A371">
        <v>370</v>
      </c>
      <c r="B371">
        <v>2025</v>
      </c>
      <c r="C371" t="s">
        <v>14</v>
      </c>
      <c r="D371" t="s">
        <v>518</v>
      </c>
      <c r="E371">
        <v>3</v>
      </c>
      <c r="F371">
        <v>34</v>
      </c>
      <c r="G371">
        <v>1</v>
      </c>
      <c r="H371">
        <v>11.33</v>
      </c>
    </row>
    <row r="372" spans="1:8">
      <c r="A372">
        <v>371</v>
      </c>
      <c r="B372">
        <v>2025</v>
      </c>
      <c r="C372" t="s">
        <v>56</v>
      </c>
      <c r="D372" t="s">
        <v>512</v>
      </c>
      <c r="E372">
        <v>3</v>
      </c>
      <c r="F372">
        <v>25</v>
      </c>
      <c r="G372">
        <v>4</v>
      </c>
      <c r="H372">
        <v>8.33</v>
      </c>
    </row>
    <row r="373" spans="1:8">
      <c r="A373">
        <v>372</v>
      </c>
      <c r="B373">
        <v>2022</v>
      </c>
      <c r="C373" t="s">
        <v>21</v>
      </c>
      <c r="D373" t="s">
        <v>506</v>
      </c>
      <c r="E373">
        <v>3</v>
      </c>
      <c r="F373">
        <v>40</v>
      </c>
      <c r="G373">
        <v>2</v>
      </c>
      <c r="H373">
        <v>13.33</v>
      </c>
    </row>
    <row r="374" spans="1:8">
      <c r="A374">
        <v>373</v>
      </c>
      <c r="B374">
        <v>2025</v>
      </c>
      <c r="C374" t="s">
        <v>15</v>
      </c>
      <c r="D374" t="s">
        <v>508</v>
      </c>
      <c r="E374">
        <v>2</v>
      </c>
      <c r="F374">
        <v>50</v>
      </c>
      <c r="G374">
        <v>4</v>
      </c>
      <c r="H374">
        <v>25</v>
      </c>
    </row>
    <row r="375" spans="1:8">
      <c r="A375">
        <v>374</v>
      </c>
      <c r="B375">
        <v>2024</v>
      </c>
      <c r="C375" t="s">
        <v>32</v>
      </c>
      <c r="D375" t="s">
        <v>508</v>
      </c>
      <c r="E375">
        <v>3</v>
      </c>
      <c r="F375">
        <v>42</v>
      </c>
      <c r="G375">
        <v>0</v>
      </c>
      <c r="H375">
        <v>14</v>
      </c>
    </row>
    <row r="376" spans="1:8">
      <c r="A376">
        <v>375</v>
      </c>
      <c r="B376">
        <v>2023</v>
      </c>
      <c r="C376" t="s">
        <v>47</v>
      </c>
      <c r="D376" t="s">
        <v>511</v>
      </c>
      <c r="E376">
        <v>4</v>
      </c>
      <c r="F376">
        <v>41</v>
      </c>
      <c r="G376">
        <v>0</v>
      </c>
      <c r="H376">
        <v>10.25</v>
      </c>
    </row>
    <row r="377" spans="1:8">
      <c r="A377">
        <v>376</v>
      </c>
      <c r="B377">
        <v>2022</v>
      </c>
      <c r="C377" t="s">
        <v>56</v>
      </c>
      <c r="D377" t="s">
        <v>516</v>
      </c>
      <c r="E377">
        <v>4</v>
      </c>
      <c r="F377">
        <v>39</v>
      </c>
      <c r="G377">
        <v>2</v>
      </c>
      <c r="H377">
        <v>9.75</v>
      </c>
    </row>
    <row r="378" spans="1:8">
      <c r="A378">
        <v>377</v>
      </c>
      <c r="B378">
        <v>2022</v>
      </c>
      <c r="C378" t="s">
        <v>15</v>
      </c>
      <c r="D378" t="s">
        <v>513</v>
      </c>
      <c r="E378">
        <v>2</v>
      </c>
      <c r="F378">
        <v>10</v>
      </c>
      <c r="G378">
        <v>2</v>
      </c>
      <c r="H378">
        <v>5</v>
      </c>
    </row>
    <row r="379" spans="1:8">
      <c r="A379">
        <v>378</v>
      </c>
      <c r="B379">
        <v>2022</v>
      </c>
      <c r="C379" t="s">
        <v>27</v>
      </c>
      <c r="D379" t="s">
        <v>518</v>
      </c>
      <c r="E379">
        <v>3</v>
      </c>
      <c r="F379">
        <v>10</v>
      </c>
      <c r="G379">
        <v>0</v>
      </c>
      <c r="H379">
        <v>3.33</v>
      </c>
    </row>
    <row r="380" spans="1:8">
      <c r="A380">
        <v>379</v>
      </c>
      <c r="B380">
        <v>2024</v>
      </c>
      <c r="C380" t="s">
        <v>32</v>
      </c>
      <c r="D380" t="s">
        <v>515</v>
      </c>
      <c r="E380">
        <v>2</v>
      </c>
      <c r="F380">
        <v>15</v>
      </c>
      <c r="G380">
        <v>4</v>
      </c>
      <c r="H380">
        <v>7.5</v>
      </c>
    </row>
    <row r="381" spans="1:8">
      <c r="A381">
        <v>380</v>
      </c>
      <c r="B381">
        <v>2022</v>
      </c>
      <c r="C381" t="s">
        <v>36</v>
      </c>
      <c r="D381" t="s">
        <v>511</v>
      </c>
      <c r="E381">
        <v>2</v>
      </c>
      <c r="F381">
        <v>36</v>
      </c>
      <c r="G381">
        <v>0</v>
      </c>
      <c r="H381">
        <v>18</v>
      </c>
    </row>
    <row r="382" spans="1:8">
      <c r="A382">
        <v>381</v>
      </c>
      <c r="B382">
        <v>2023</v>
      </c>
      <c r="C382" t="s">
        <v>47</v>
      </c>
      <c r="D382" t="s">
        <v>516</v>
      </c>
      <c r="E382">
        <v>2</v>
      </c>
      <c r="F382">
        <v>26</v>
      </c>
      <c r="G382">
        <v>1</v>
      </c>
      <c r="H382">
        <v>13</v>
      </c>
    </row>
    <row r="383" spans="1:8">
      <c r="A383">
        <v>382</v>
      </c>
      <c r="B383">
        <v>2022</v>
      </c>
      <c r="C383" t="s">
        <v>47</v>
      </c>
      <c r="D383" t="s">
        <v>518</v>
      </c>
      <c r="E383">
        <v>3</v>
      </c>
      <c r="F383">
        <v>29</v>
      </c>
      <c r="G383">
        <v>2</v>
      </c>
      <c r="H383">
        <v>9.67</v>
      </c>
    </row>
    <row r="384" spans="1:8">
      <c r="A384">
        <v>383</v>
      </c>
      <c r="B384">
        <v>2024</v>
      </c>
      <c r="C384" t="s">
        <v>32</v>
      </c>
      <c r="D384" t="s">
        <v>511</v>
      </c>
      <c r="E384">
        <v>2</v>
      </c>
      <c r="F384">
        <v>44</v>
      </c>
      <c r="G384">
        <v>2</v>
      </c>
      <c r="H384">
        <v>22</v>
      </c>
    </row>
    <row r="385" spans="1:8">
      <c r="A385">
        <v>384</v>
      </c>
      <c r="B385">
        <v>2021</v>
      </c>
      <c r="C385" t="s">
        <v>21</v>
      </c>
      <c r="D385" t="s">
        <v>515</v>
      </c>
      <c r="E385">
        <v>4</v>
      </c>
      <c r="F385">
        <v>38</v>
      </c>
      <c r="G385">
        <v>1</v>
      </c>
      <c r="H385">
        <v>9.5</v>
      </c>
    </row>
    <row r="386" spans="1:8">
      <c r="A386">
        <v>385</v>
      </c>
      <c r="B386">
        <v>2023</v>
      </c>
      <c r="C386" t="s">
        <v>27</v>
      </c>
      <c r="D386" t="s">
        <v>513</v>
      </c>
      <c r="E386">
        <v>4</v>
      </c>
      <c r="F386">
        <v>37</v>
      </c>
      <c r="G386">
        <v>0</v>
      </c>
      <c r="H386">
        <v>9.25</v>
      </c>
    </row>
    <row r="387" spans="1:8">
      <c r="A387">
        <v>386</v>
      </c>
      <c r="B387">
        <v>2022</v>
      </c>
      <c r="C387" t="s">
        <v>56</v>
      </c>
      <c r="D387" t="s">
        <v>511</v>
      </c>
      <c r="E387">
        <v>4</v>
      </c>
      <c r="F387">
        <v>22</v>
      </c>
      <c r="G387">
        <v>0</v>
      </c>
      <c r="H387">
        <v>5.5</v>
      </c>
    </row>
    <row r="388" spans="1:8">
      <c r="A388">
        <v>387</v>
      </c>
      <c r="B388">
        <v>2023</v>
      </c>
      <c r="C388" t="s">
        <v>22</v>
      </c>
      <c r="D388" t="s">
        <v>506</v>
      </c>
      <c r="E388">
        <v>2</v>
      </c>
      <c r="F388">
        <v>18</v>
      </c>
      <c r="G388">
        <v>3</v>
      </c>
      <c r="H388">
        <v>9</v>
      </c>
    </row>
    <row r="389" spans="1:8">
      <c r="A389">
        <v>388</v>
      </c>
      <c r="B389">
        <v>2021</v>
      </c>
      <c r="C389" t="s">
        <v>32</v>
      </c>
      <c r="D389" t="s">
        <v>41</v>
      </c>
      <c r="E389">
        <v>3</v>
      </c>
      <c r="F389">
        <v>12</v>
      </c>
      <c r="G389">
        <v>1</v>
      </c>
      <c r="H389">
        <v>4</v>
      </c>
    </row>
    <row r="390" spans="1:8">
      <c r="A390">
        <v>389</v>
      </c>
      <c r="B390">
        <v>2022</v>
      </c>
      <c r="C390" t="s">
        <v>22</v>
      </c>
      <c r="D390" t="s">
        <v>515</v>
      </c>
      <c r="E390">
        <v>4</v>
      </c>
      <c r="F390">
        <v>27</v>
      </c>
      <c r="G390">
        <v>0</v>
      </c>
      <c r="H390">
        <v>6.75</v>
      </c>
    </row>
    <row r="391" spans="1:8">
      <c r="A391">
        <v>390</v>
      </c>
      <c r="B391">
        <v>2021</v>
      </c>
      <c r="C391" t="s">
        <v>32</v>
      </c>
      <c r="D391" t="s">
        <v>515</v>
      </c>
      <c r="E391">
        <v>4</v>
      </c>
      <c r="F391">
        <v>41</v>
      </c>
      <c r="G391">
        <v>5</v>
      </c>
      <c r="H391">
        <v>10.25</v>
      </c>
    </row>
    <row r="392" spans="1:8">
      <c r="A392">
        <v>391</v>
      </c>
      <c r="B392">
        <v>2025</v>
      </c>
      <c r="C392" t="s">
        <v>27</v>
      </c>
      <c r="D392" t="s">
        <v>513</v>
      </c>
      <c r="E392">
        <v>3</v>
      </c>
      <c r="F392">
        <v>42</v>
      </c>
      <c r="G392">
        <v>5</v>
      </c>
      <c r="H392">
        <v>14</v>
      </c>
    </row>
    <row r="393" spans="1:8">
      <c r="A393">
        <v>392</v>
      </c>
      <c r="B393">
        <v>2023</v>
      </c>
      <c r="C393" t="s">
        <v>32</v>
      </c>
      <c r="D393" t="s">
        <v>505</v>
      </c>
      <c r="E393">
        <v>2</v>
      </c>
      <c r="F393">
        <v>16</v>
      </c>
      <c r="G393">
        <v>0</v>
      </c>
      <c r="H393">
        <v>8</v>
      </c>
    </row>
    <row r="394" spans="1:8">
      <c r="A394">
        <v>393</v>
      </c>
      <c r="B394">
        <v>2022</v>
      </c>
      <c r="C394" t="s">
        <v>27</v>
      </c>
      <c r="D394" t="s">
        <v>505</v>
      </c>
      <c r="E394">
        <v>3</v>
      </c>
      <c r="F394">
        <v>42</v>
      </c>
      <c r="G394">
        <v>0</v>
      </c>
      <c r="H394">
        <v>14</v>
      </c>
    </row>
    <row r="395" spans="1:8">
      <c r="A395">
        <v>394</v>
      </c>
      <c r="B395">
        <v>2023</v>
      </c>
      <c r="C395" t="s">
        <v>22</v>
      </c>
      <c r="D395" t="s">
        <v>516</v>
      </c>
      <c r="E395">
        <v>4</v>
      </c>
      <c r="F395">
        <v>31</v>
      </c>
      <c r="G395">
        <v>3</v>
      </c>
      <c r="H395">
        <v>7.75</v>
      </c>
    </row>
    <row r="396" spans="1:8">
      <c r="A396">
        <v>395</v>
      </c>
      <c r="B396">
        <v>2021</v>
      </c>
      <c r="C396" t="s">
        <v>50</v>
      </c>
      <c r="D396" t="s">
        <v>41</v>
      </c>
      <c r="E396">
        <v>2</v>
      </c>
      <c r="F396">
        <v>37</v>
      </c>
      <c r="G396">
        <v>3</v>
      </c>
      <c r="H396">
        <v>18.5</v>
      </c>
    </row>
    <row r="397" spans="1:8">
      <c r="A397">
        <v>396</v>
      </c>
      <c r="B397">
        <v>2024</v>
      </c>
      <c r="C397" t="s">
        <v>15</v>
      </c>
      <c r="D397" t="s">
        <v>506</v>
      </c>
      <c r="E397">
        <v>3</v>
      </c>
      <c r="F397">
        <v>15</v>
      </c>
      <c r="G397">
        <v>3</v>
      </c>
      <c r="H397">
        <v>5</v>
      </c>
    </row>
    <row r="398" spans="1:8">
      <c r="A398">
        <v>397</v>
      </c>
      <c r="B398">
        <v>2023</v>
      </c>
      <c r="C398" t="s">
        <v>22</v>
      </c>
      <c r="D398" t="s">
        <v>510</v>
      </c>
      <c r="E398">
        <v>2</v>
      </c>
      <c r="F398">
        <v>42</v>
      </c>
      <c r="G398">
        <v>1</v>
      </c>
      <c r="H398">
        <v>21</v>
      </c>
    </row>
    <row r="399" spans="1:8">
      <c r="A399">
        <v>398</v>
      </c>
      <c r="B399">
        <v>2021</v>
      </c>
      <c r="C399" t="s">
        <v>22</v>
      </c>
      <c r="D399" t="s">
        <v>506</v>
      </c>
      <c r="E399">
        <v>2</v>
      </c>
      <c r="F399">
        <v>26</v>
      </c>
      <c r="G399">
        <v>5</v>
      </c>
      <c r="H399">
        <v>13</v>
      </c>
    </row>
    <row r="400" spans="1:8">
      <c r="A400">
        <v>399</v>
      </c>
      <c r="B400">
        <v>2023</v>
      </c>
      <c r="C400" t="s">
        <v>22</v>
      </c>
      <c r="D400" t="s">
        <v>509</v>
      </c>
      <c r="E400">
        <v>3</v>
      </c>
      <c r="F400">
        <v>22</v>
      </c>
      <c r="G400">
        <v>3</v>
      </c>
      <c r="H400">
        <v>7.33</v>
      </c>
    </row>
    <row r="401" spans="1:8">
      <c r="A401">
        <v>400</v>
      </c>
      <c r="B401">
        <v>2022</v>
      </c>
      <c r="C401" t="s">
        <v>21</v>
      </c>
      <c r="D401" t="s">
        <v>41</v>
      </c>
      <c r="E401">
        <v>4</v>
      </c>
      <c r="F401">
        <v>42</v>
      </c>
      <c r="G401">
        <v>4</v>
      </c>
      <c r="H401">
        <v>10.5</v>
      </c>
    </row>
    <row r="402" spans="1:8">
      <c r="A402">
        <v>401</v>
      </c>
      <c r="B402">
        <v>2021</v>
      </c>
      <c r="C402" t="s">
        <v>27</v>
      </c>
      <c r="D402" t="s">
        <v>508</v>
      </c>
      <c r="E402">
        <v>4</v>
      </c>
      <c r="F402">
        <v>50</v>
      </c>
      <c r="G402">
        <v>5</v>
      </c>
      <c r="H402">
        <v>12.5</v>
      </c>
    </row>
    <row r="403" spans="1:8">
      <c r="A403">
        <v>402</v>
      </c>
      <c r="B403">
        <v>2025</v>
      </c>
      <c r="C403" t="s">
        <v>27</v>
      </c>
      <c r="D403" t="s">
        <v>508</v>
      </c>
      <c r="E403">
        <v>2</v>
      </c>
      <c r="F403">
        <v>18</v>
      </c>
      <c r="G403">
        <v>3</v>
      </c>
      <c r="H403">
        <v>9</v>
      </c>
    </row>
    <row r="404" spans="1:8">
      <c r="A404">
        <v>403</v>
      </c>
      <c r="B404">
        <v>2021</v>
      </c>
      <c r="C404" t="s">
        <v>14</v>
      </c>
      <c r="D404" t="s">
        <v>506</v>
      </c>
      <c r="E404">
        <v>2</v>
      </c>
      <c r="F404">
        <v>19</v>
      </c>
      <c r="G404">
        <v>3</v>
      </c>
      <c r="H404">
        <v>9.5</v>
      </c>
    </row>
    <row r="405" spans="1:8">
      <c r="A405">
        <v>404</v>
      </c>
      <c r="B405">
        <v>2023</v>
      </c>
      <c r="C405" t="s">
        <v>14</v>
      </c>
      <c r="D405" t="s">
        <v>510</v>
      </c>
      <c r="E405">
        <v>2</v>
      </c>
      <c r="F405">
        <v>15</v>
      </c>
      <c r="G405">
        <v>0</v>
      </c>
      <c r="H405">
        <v>7.5</v>
      </c>
    </row>
    <row r="406" spans="1:8">
      <c r="A406">
        <v>405</v>
      </c>
      <c r="B406">
        <v>2024</v>
      </c>
      <c r="C406" t="s">
        <v>32</v>
      </c>
      <c r="D406" t="s">
        <v>518</v>
      </c>
      <c r="E406">
        <v>4</v>
      </c>
      <c r="F406">
        <v>29</v>
      </c>
      <c r="G406">
        <v>5</v>
      </c>
      <c r="H406">
        <v>7.25</v>
      </c>
    </row>
    <row r="407" spans="1:8">
      <c r="A407">
        <v>406</v>
      </c>
      <c r="B407">
        <v>2022</v>
      </c>
      <c r="C407" t="s">
        <v>22</v>
      </c>
      <c r="D407" t="s">
        <v>508</v>
      </c>
      <c r="E407">
        <v>3</v>
      </c>
      <c r="F407">
        <v>37</v>
      </c>
      <c r="G407">
        <v>3</v>
      </c>
      <c r="H407">
        <v>12.33</v>
      </c>
    </row>
    <row r="408" spans="1:8">
      <c r="A408">
        <v>407</v>
      </c>
      <c r="B408">
        <v>2023</v>
      </c>
      <c r="C408" t="s">
        <v>14</v>
      </c>
      <c r="D408" t="s">
        <v>517</v>
      </c>
      <c r="E408">
        <v>3</v>
      </c>
      <c r="F408">
        <v>13</v>
      </c>
      <c r="G408">
        <v>2</v>
      </c>
      <c r="H408">
        <v>4.33</v>
      </c>
    </row>
    <row r="409" spans="1:8">
      <c r="A409">
        <v>408</v>
      </c>
      <c r="B409">
        <v>2023</v>
      </c>
      <c r="C409" t="s">
        <v>21</v>
      </c>
      <c r="D409" t="s">
        <v>506</v>
      </c>
      <c r="E409">
        <v>3</v>
      </c>
      <c r="F409">
        <v>27</v>
      </c>
      <c r="G409">
        <v>2</v>
      </c>
      <c r="H409">
        <v>9</v>
      </c>
    </row>
    <row r="410" spans="1:8">
      <c r="A410">
        <v>409</v>
      </c>
      <c r="B410">
        <v>2023</v>
      </c>
      <c r="C410" t="s">
        <v>32</v>
      </c>
      <c r="D410" t="s">
        <v>508</v>
      </c>
      <c r="E410">
        <v>3</v>
      </c>
      <c r="F410">
        <v>13</v>
      </c>
      <c r="G410">
        <v>1</v>
      </c>
      <c r="H410">
        <v>4.33</v>
      </c>
    </row>
    <row r="411" spans="1:8">
      <c r="A411">
        <v>410</v>
      </c>
      <c r="B411">
        <v>2023</v>
      </c>
      <c r="C411" t="s">
        <v>14</v>
      </c>
      <c r="D411" t="s">
        <v>516</v>
      </c>
      <c r="E411">
        <v>2</v>
      </c>
      <c r="F411">
        <v>30</v>
      </c>
      <c r="G411">
        <v>1</v>
      </c>
      <c r="H411">
        <v>15</v>
      </c>
    </row>
    <row r="412" spans="1:8">
      <c r="A412">
        <v>411</v>
      </c>
      <c r="B412">
        <v>2025</v>
      </c>
      <c r="C412" t="s">
        <v>15</v>
      </c>
      <c r="D412" t="s">
        <v>515</v>
      </c>
      <c r="E412">
        <v>3</v>
      </c>
      <c r="F412">
        <v>48</v>
      </c>
      <c r="G412">
        <v>0</v>
      </c>
      <c r="H412">
        <v>16</v>
      </c>
    </row>
    <row r="413" spans="1:8">
      <c r="A413">
        <v>412</v>
      </c>
      <c r="B413">
        <v>2021</v>
      </c>
      <c r="C413" t="s">
        <v>32</v>
      </c>
      <c r="D413" t="s">
        <v>505</v>
      </c>
      <c r="E413">
        <v>3</v>
      </c>
      <c r="F413">
        <v>41</v>
      </c>
      <c r="G413">
        <v>2</v>
      </c>
      <c r="H413">
        <v>13.67</v>
      </c>
    </row>
    <row r="414" spans="1:8">
      <c r="A414">
        <v>413</v>
      </c>
      <c r="B414">
        <v>2023</v>
      </c>
      <c r="C414" t="s">
        <v>56</v>
      </c>
      <c r="D414" t="s">
        <v>506</v>
      </c>
      <c r="E414">
        <v>2</v>
      </c>
      <c r="F414">
        <v>16</v>
      </c>
      <c r="G414">
        <v>5</v>
      </c>
      <c r="H414">
        <v>8</v>
      </c>
    </row>
    <row r="415" spans="1:8">
      <c r="A415">
        <v>414</v>
      </c>
      <c r="B415">
        <v>2023</v>
      </c>
      <c r="C415" t="s">
        <v>14</v>
      </c>
      <c r="D415" t="s">
        <v>509</v>
      </c>
      <c r="E415">
        <v>4</v>
      </c>
      <c r="F415">
        <v>18</v>
      </c>
      <c r="G415">
        <v>2</v>
      </c>
      <c r="H415">
        <v>4.5</v>
      </c>
    </row>
    <row r="416" spans="1:8">
      <c r="A416">
        <v>415</v>
      </c>
      <c r="B416">
        <v>2022</v>
      </c>
      <c r="C416" t="s">
        <v>56</v>
      </c>
      <c r="D416" t="s">
        <v>41</v>
      </c>
      <c r="E416">
        <v>3</v>
      </c>
      <c r="F416">
        <v>47</v>
      </c>
      <c r="G416">
        <v>4</v>
      </c>
      <c r="H416">
        <v>15.67</v>
      </c>
    </row>
    <row r="417" spans="1:8">
      <c r="A417">
        <v>416</v>
      </c>
      <c r="B417">
        <v>2022</v>
      </c>
      <c r="C417" t="s">
        <v>50</v>
      </c>
      <c r="D417" t="s">
        <v>513</v>
      </c>
      <c r="E417">
        <v>2</v>
      </c>
      <c r="F417">
        <v>27</v>
      </c>
      <c r="G417">
        <v>1</v>
      </c>
      <c r="H417">
        <v>13.5</v>
      </c>
    </row>
    <row r="418" spans="1:8">
      <c r="A418">
        <v>417</v>
      </c>
      <c r="B418">
        <v>2021</v>
      </c>
      <c r="C418" t="s">
        <v>50</v>
      </c>
      <c r="D418" t="s">
        <v>518</v>
      </c>
      <c r="E418">
        <v>2</v>
      </c>
      <c r="F418">
        <v>16</v>
      </c>
      <c r="G418">
        <v>1</v>
      </c>
      <c r="H418">
        <v>8</v>
      </c>
    </row>
    <row r="419" spans="1:8">
      <c r="A419">
        <v>418</v>
      </c>
      <c r="B419">
        <v>2024</v>
      </c>
      <c r="C419" t="s">
        <v>50</v>
      </c>
      <c r="D419" t="s">
        <v>512</v>
      </c>
      <c r="E419">
        <v>2</v>
      </c>
      <c r="F419">
        <v>47</v>
      </c>
      <c r="G419">
        <v>5</v>
      </c>
      <c r="H419">
        <v>23.5</v>
      </c>
    </row>
    <row r="420" spans="1:8">
      <c r="A420">
        <v>419</v>
      </c>
      <c r="B420">
        <v>2021</v>
      </c>
      <c r="C420" t="s">
        <v>22</v>
      </c>
      <c r="D420" t="s">
        <v>508</v>
      </c>
      <c r="E420">
        <v>4</v>
      </c>
      <c r="F420">
        <v>38</v>
      </c>
      <c r="G420">
        <v>0</v>
      </c>
      <c r="H420">
        <v>9.5</v>
      </c>
    </row>
    <row r="421" spans="1:8">
      <c r="A421">
        <v>420</v>
      </c>
      <c r="B421">
        <v>2024</v>
      </c>
      <c r="C421" t="s">
        <v>21</v>
      </c>
      <c r="D421" t="s">
        <v>517</v>
      </c>
      <c r="E421">
        <v>4</v>
      </c>
      <c r="F421">
        <v>31</v>
      </c>
      <c r="G421">
        <v>2</v>
      </c>
      <c r="H421">
        <v>7.75</v>
      </c>
    </row>
    <row r="422" spans="1:8">
      <c r="A422">
        <v>421</v>
      </c>
      <c r="B422">
        <v>2022</v>
      </c>
      <c r="C422" t="s">
        <v>47</v>
      </c>
      <c r="D422" t="s">
        <v>514</v>
      </c>
      <c r="E422">
        <v>2</v>
      </c>
      <c r="F422">
        <v>44</v>
      </c>
      <c r="G422">
        <v>5</v>
      </c>
      <c r="H422">
        <v>22</v>
      </c>
    </row>
    <row r="423" spans="1:8">
      <c r="A423">
        <v>422</v>
      </c>
      <c r="B423">
        <v>2025</v>
      </c>
      <c r="C423" t="s">
        <v>27</v>
      </c>
      <c r="D423" t="s">
        <v>516</v>
      </c>
      <c r="E423">
        <v>2</v>
      </c>
      <c r="F423">
        <v>22</v>
      </c>
      <c r="G423">
        <v>3</v>
      </c>
      <c r="H423">
        <v>11</v>
      </c>
    </row>
    <row r="424" spans="1:8">
      <c r="A424">
        <v>423</v>
      </c>
      <c r="B424">
        <v>2021</v>
      </c>
      <c r="C424" t="s">
        <v>36</v>
      </c>
      <c r="D424" t="s">
        <v>41</v>
      </c>
      <c r="E424">
        <v>3</v>
      </c>
      <c r="F424">
        <v>45</v>
      </c>
      <c r="G424">
        <v>2</v>
      </c>
      <c r="H424">
        <v>15</v>
      </c>
    </row>
    <row r="425" spans="1:8">
      <c r="A425">
        <v>424</v>
      </c>
      <c r="B425">
        <v>2025</v>
      </c>
      <c r="C425" t="s">
        <v>56</v>
      </c>
      <c r="D425" t="s">
        <v>515</v>
      </c>
      <c r="E425">
        <v>4</v>
      </c>
      <c r="F425">
        <v>17</v>
      </c>
      <c r="G425">
        <v>3</v>
      </c>
      <c r="H425">
        <v>4.25</v>
      </c>
    </row>
    <row r="426" spans="1:8">
      <c r="A426">
        <v>425</v>
      </c>
      <c r="B426">
        <v>2024</v>
      </c>
      <c r="C426" t="s">
        <v>21</v>
      </c>
      <c r="D426" t="s">
        <v>515</v>
      </c>
      <c r="E426">
        <v>3</v>
      </c>
      <c r="F426">
        <v>43</v>
      </c>
      <c r="G426">
        <v>4</v>
      </c>
      <c r="H426">
        <v>14.33</v>
      </c>
    </row>
    <row r="427" spans="1:8">
      <c r="A427">
        <v>426</v>
      </c>
      <c r="B427">
        <v>2025</v>
      </c>
      <c r="C427" t="s">
        <v>14</v>
      </c>
      <c r="D427" t="s">
        <v>505</v>
      </c>
      <c r="E427">
        <v>4</v>
      </c>
      <c r="F427">
        <v>27</v>
      </c>
      <c r="G427">
        <v>5</v>
      </c>
      <c r="H427">
        <v>6.75</v>
      </c>
    </row>
    <row r="428" spans="1:8">
      <c r="A428">
        <v>427</v>
      </c>
      <c r="B428">
        <v>2024</v>
      </c>
      <c r="C428" t="s">
        <v>27</v>
      </c>
      <c r="D428" t="s">
        <v>506</v>
      </c>
      <c r="E428">
        <v>2</v>
      </c>
      <c r="F428">
        <v>46</v>
      </c>
      <c r="G428">
        <v>0</v>
      </c>
      <c r="H428">
        <v>23</v>
      </c>
    </row>
    <row r="429" spans="1:8">
      <c r="A429">
        <v>428</v>
      </c>
      <c r="B429">
        <v>2025</v>
      </c>
      <c r="C429" t="s">
        <v>22</v>
      </c>
      <c r="D429" t="s">
        <v>41</v>
      </c>
      <c r="E429">
        <v>3</v>
      </c>
      <c r="F429">
        <v>41</v>
      </c>
      <c r="G429">
        <v>5</v>
      </c>
      <c r="H429">
        <v>13.67</v>
      </c>
    </row>
    <row r="430" spans="1:8">
      <c r="A430">
        <v>429</v>
      </c>
      <c r="B430">
        <v>2024</v>
      </c>
      <c r="C430" t="s">
        <v>36</v>
      </c>
      <c r="D430" t="s">
        <v>507</v>
      </c>
      <c r="E430">
        <v>4</v>
      </c>
      <c r="F430">
        <v>14</v>
      </c>
      <c r="G430">
        <v>1</v>
      </c>
      <c r="H430">
        <v>3.5</v>
      </c>
    </row>
    <row r="431" spans="1:8">
      <c r="A431">
        <v>430</v>
      </c>
      <c r="B431">
        <v>2023</v>
      </c>
      <c r="C431" t="s">
        <v>47</v>
      </c>
      <c r="D431" t="s">
        <v>514</v>
      </c>
      <c r="E431">
        <v>4</v>
      </c>
      <c r="F431">
        <v>34</v>
      </c>
      <c r="G431">
        <v>4</v>
      </c>
      <c r="H431">
        <v>8.5</v>
      </c>
    </row>
    <row r="432" spans="1:8">
      <c r="A432">
        <v>431</v>
      </c>
      <c r="B432">
        <v>2021</v>
      </c>
      <c r="C432" t="s">
        <v>32</v>
      </c>
      <c r="D432" t="s">
        <v>518</v>
      </c>
      <c r="E432">
        <v>4</v>
      </c>
      <c r="F432">
        <v>27</v>
      </c>
      <c r="G432">
        <v>1</v>
      </c>
      <c r="H432">
        <v>6.75</v>
      </c>
    </row>
    <row r="433" spans="1:8">
      <c r="A433">
        <v>432</v>
      </c>
      <c r="B433">
        <v>2025</v>
      </c>
      <c r="C433" t="s">
        <v>27</v>
      </c>
      <c r="D433" t="s">
        <v>516</v>
      </c>
      <c r="E433">
        <v>2</v>
      </c>
      <c r="F433">
        <v>46</v>
      </c>
      <c r="G433">
        <v>1</v>
      </c>
      <c r="H433">
        <v>23</v>
      </c>
    </row>
    <row r="434" spans="1:8">
      <c r="A434">
        <v>433</v>
      </c>
      <c r="B434">
        <v>2022</v>
      </c>
      <c r="C434" t="s">
        <v>50</v>
      </c>
      <c r="D434" t="s">
        <v>41</v>
      </c>
      <c r="E434">
        <v>2</v>
      </c>
      <c r="F434">
        <v>42</v>
      </c>
      <c r="G434">
        <v>3</v>
      </c>
      <c r="H434">
        <v>21</v>
      </c>
    </row>
    <row r="435" spans="1:8">
      <c r="A435">
        <v>434</v>
      </c>
      <c r="B435">
        <v>2021</v>
      </c>
      <c r="C435" t="s">
        <v>36</v>
      </c>
      <c r="D435" t="s">
        <v>41</v>
      </c>
      <c r="E435">
        <v>4</v>
      </c>
      <c r="F435">
        <v>43</v>
      </c>
      <c r="G435">
        <v>2</v>
      </c>
      <c r="H435">
        <v>10.75</v>
      </c>
    </row>
    <row r="436" spans="1:8">
      <c r="A436">
        <v>435</v>
      </c>
      <c r="B436">
        <v>2021</v>
      </c>
      <c r="C436" t="s">
        <v>15</v>
      </c>
      <c r="D436" t="s">
        <v>507</v>
      </c>
      <c r="E436">
        <v>2</v>
      </c>
      <c r="F436">
        <v>28</v>
      </c>
      <c r="G436">
        <v>5</v>
      </c>
      <c r="H436">
        <v>14</v>
      </c>
    </row>
    <row r="437" spans="1:8">
      <c r="A437">
        <v>436</v>
      </c>
      <c r="B437">
        <v>2024</v>
      </c>
      <c r="C437" t="s">
        <v>15</v>
      </c>
      <c r="D437" t="s">
        <v>517</v>
      </c>
      <c r="E437">
        <v>2</v>
      </c>
      <c r="F437">
        <v>20</v>
      </c>
      <c r="G437">
        <v>1</v>
      </c>
      <c r="H437">
        <v>10</v>
      </c>
    </row>
    <row r="438" spans="1:8">
      <c r="A438">
        <v>437</v>
      </c>
      <c r="B438">
        <v>2023</v>
      </c>
      <c r="C438" t="s">
        <v>14</v>
      </c>
      <c r="D438" t="s">
        <v>517</v>
      </c>
      <c r="E438">
        <v>2</v>
      </c>
      <c r="F438">
        <v>28</v>
      </c>
      <c r="G438">
        <v>0</v>
      </c>
      <c r="H438">
        <v>14</v>
      </c>
    </row>
    <row r="439" spans="1:8">
      <c r="A439">
        <v>438</v>
      </c>
      <c r="B439">
        <v>2024</v>
      </c>
      <c r="C439" t="s">
        <v>27</v>
      </c>
      <c r="D439" t="s">
        <v>511</v>
      </c>
      <c r="E439">
        <v>3</v>
      </c>
      <c r="F439">
        <v>18</v>
      </c>
      <c r="G439">
        <v>2</v>
      </c>
      <c r="H439">
        <v>6</v>
      </c>
    </row>
    <row r="440" spans="1:8">
      <c r="A440">
        <v>439</v>
      </c>
      <c r="B440">
        <v>2023</v>
      </c>
      <c r="C440" t="s">
        <v>14</v>
      </c>
      <c r="D440" t="s">
        <v>509</v>
      </c>
      <c r="E440">
        <v>2</v>
      </c>
      <c r="F440">
        <v>23</v>
      </c>
      <c r="G440">
        <v>4</v>
      </c>
      <c r="H440">
        <v>11.5</v>
      </c>
    </row>
    <row r="441" spans="1:8">
      <c r="A441">
        <v>440</v>
      </c>
      <c r="B441">
        <v>2025</v>
      </c>
      <c r="C441" t="s">
        <v>21</v>
      </c>
      <c r="D441" t="s">
        <v>516</v>
      </c>
      <c r="E441">
        <v>4</v>
      </c>
      <c r="F441">
        <v>32</v>
      </c>
      <c r="G441">
        <v>5</v>
      </c>
      <c r="H441">
        <v>8</v>
      </c>
    </row>
    <row r="442" spans="1:8">
      <c r="A442">
        <v>441</v>
      </c>
      <c r="B442">
        <v>2022</v>
      </c>
      <c r="C442" t="s">
        <v>50</v>
      </c>
      <c r="D442" t="s">
        <v>513</v>
      </c>
      <c r="E442">
        <v>3</v>
      </c>
      <c r="F442">
        <v>15</v>
      </c>
      <c r="G442">
        <v>5</v>
      </c>
      <c r="H442">
        <v>5</v>
      </c>
    </row>
    <row r="443" spans="1:8">
      <c r="A443">
        <v>442</v>
      </c>
      <c r="B443">
        <v>2022</v>
      </c>
      <c r="C443" t="s">
        <v>36</v>
      </c>
      <c r="D443" t="s">
        <v>506</v>
      </c>
      <c r="E443">
        <v>4</v>
      </c>
      <c r="F443">
        <v>18</v>
      </c>
      <c r="G443">
        <v>3</v>
      </c>
      <c r="H443">
        <v>4.5</v>
      </c>
    </row>
    <row r="444" spans="1:8">
      <c r="A444">
        <v>443</v>
      </c>
      <c r="B444">
        <v>2025</v>
      </c>
      <c r="C444" t="s">
        <v>50</v>
      </c>
      <c r="D444" t="s">
        <v>506</v>
      </c>
      <c r="E444">
        <v>3</v>
      </c>
      <c r="F444">
        <v>13</v>
      </c>
      <c r="G444">
        <v>5</v>
      </c>
      <c r="H444">
        <v>4.33</v>
      </c>
    </row>
    <row r="445" spans="1:8">
      <c r="A445">
        <v>444</v>
      </c>
      <c r="B445">
        <v>2025</v>
      </c>
      <c r="C445" t="s">
        <v>14</v>
      </c>
      <c r="D445" t="s">
        <v>507</v>
      </c>
      <c r="E445">
        <v>3</v>
      </c>
      <c r="F445">
        <v>24</v>
      </c>
      <c r="G445">
        <v>5</v>
      </c>
      <c r="H445">
        <v>8</v>
      </c>
    </row>
    <row r="446" spans="1:8">
      <c r="A446">
        <v>445</v>
      </c>
      <c r="B446">
        <v>2021</v>
      </c>
      <c r="C446" t="s">
        <v>15</v>
      </c>
      <c r="D446" t="s">
        <v>505</v>
      </c>
      <c r="E446">
        <v>3</v>
      </c>
      <c r="F446">
        <v>11</v>
      </c>
      <c r="G446">
        <v>4</v>
      </c>
      <c r="H446">
        <v>3.67</v>
      </c>
    </row>
    <row r="447" spans="1:8">
      <c r="A447">
        <v>446</v>
      </c>
      <c r="B447">
        <v>2023</v>
      </c>
      <c r="C447" t="s">
        <v>50</v>
      </c>
      <c r="D447" t="s">
        <v>512</v>
      </c>
      <c r="E447">
        <v>4</v>
      </c>
      <c r="F447">
        <v>34</v>
      </c>
      <c r="G447">
        <v>5</v>
      </c>
      <c r="H447">
        <v>8.5</v>
      </c>
    </row>
    <row r="448" spans="1:8">
      <c r="A448">
        <v>447</v>
      </c>
      <c r="B448">
        <v>2022</v>
      </c>
      <c r="C448" t="s">
        <v>15</v>
      </c>
      <c r="D448" t="s">
        <v>507</v>
      </c>
      <c r="E448">
        <v>4</v>
      </c>
      <c r="F448">
        <v>50</v>
      </c>
      <c r="G448">
        <v>4</v>
      </c>
      <c r="H448">
        <v>12.5</v>
      </c>
    </row>
    <row r="449" spans="1:8">
      <c r="A449">
        <v>448</v>
      </c>
      <c r="B449">
        <v>2025</v>
      </c>
      <c r="C449" t="s">
        <v>36</v>
      </c>
      <c r="D449" t="s">
        <v>508</v>
      </c>
      <c r="E449">
        <v>3</v>
      </c>
      <c r="F449">
        <v>24</v>
      </c>
      <c r="G449">
        <v>2</v>
      </c>
      <c r="H449">
        <v>8</v>
      </c>
    </row>
    <row r="450" spans="1:8">
      <c r="A450">
        <v>449</v>
      </c>
      <c r="B450">
        <v>2022</v>
      </c>
      <c r="C450" t="s">
        <v>15</v>
      </c>
      <c r="D450" t="s">
        <v>508</v>
      </c>
      <c r="E450">
        <v>4</v>
      </c>
      <c r="F450">
        <v>50</v>
      </c>
      <c r="G450">
        <v>3</v>
      </c>
      <c r="H450">
        <v>12.5</v>
      </c>
    </row>
    <row r="451" spans="1:8">
      <c r="A451">
        <v>450</v>
      </c>
      <c r="B451">
        <v>2025</v>
      </c>
      <c r="C451" t="s">
        <v>27</v>
      </c>
      <c r="D451" t="s">
        <v>515</v>
      </c>
      <c r="E451">
        <v>2</v>
      </c>
      <c r="F451">
        <v>37</v>
      </c>
      <c r="G451">
        <v>2</v>
      </c>
      <c r="H451">
        <v>18.5</v>
      </c>
    </row>
    <row r="452" spans="1:8">
      <c r="A452">
        <v>451</v>
      </c>
      <c r="B452">
        <v>2021</v>
      </c>
      <c r="C452" t="s">
        <v>27</v>
      </c>
      <c r="D452" t="s">
        <v>511</v>
      </c>
      <c r="E452">
        <v>3</v>
      </c>
      <c r="F452">
        <v>15</v>
      </c>
      <c r="G452">
        <v>3</v>
      </c>
      <c r="H452">
        <v>5</v>
      </c>
    </row>
    <row r="453" spans="1:8">
      <c r="A453">
        <v>452</v>
      </c>
      <c r="B453">
        <v>2021</v>
      </c>
      <c r="C453" t="s">
        <v>27</v>
      </c>
      <c r="D453" t="s">
        <v>515</v>
      </c>
      <c r="E453">
        <v>2</v>
      </c>
      <c r="F453">
        <v>21</v>
      </c>
      <c r="G453">
        <v>1</v>
      </c>
      <c r="H453">
        <v>10.5</v>
      </c>
    </row>
    <row r="454" spans="1:8">
      <c r="A454">
        <v>453</v>
      </c>
      <c r="B454">
        <v>2025</v>
      </c>
      <c r="C454" t="s">
        <v>50</v>
      </c>
      <c r="D454" t="s">
        <v>515</v>
      </c>
      <c r="E454">
        <v>4</v>
      </c>
      <c r="F454">
        <v>21</v>
      </c>
      <c r="G454">
        <v>5</v>
      </c>
      <c r="H454">
        <v>5.25</v>
      </c>
    </row>
    <row r="455" spans="1:8">
      <c r="A455">
        <v>454</v>
      </c>
      <c r="B455">
        <v>2023</v>
      </c>
      <c r="C455" t="s">
        <v>15</v>
      </c>
      <c r="D455" t="s">
        <v>516</v>
      </c>
      <c r="E455">
        <v>3</v>
      </c>
      <c r="F455">
        <v>20</v>
      </c>
      <c r="G455">
        <v>1</v>
      </c>
      <c r="H455">
        <v>6.67</v>
      </c>
    </row>
    <row r="456" spans="1:8">
      <c r="A456">
        <v>455</v>
      </c>
      <c r="B456">
        <v>2023</v>
      </c>
      <c r="C456" t="s">
        <v>32</v>
      </c>
      <c r="D456" t="s">
        <v>509</v>
      </c>
      <c r="E456">
        <v>4</v>
      </c>
      <c r="F456">
        <v>22</v>
      </c>
      <c r="G456">
        <v>0</v>
      </c>
      <c r="H456">
        <v>5.5</v>
      </c>
    </row>
    <row r="457" spans="1:8">
      <c r="A457">
        <v>456</v>
      </c>
      <c r="B457">
        <v>2023</v>
      </c>
      <c r="C457" t="s">
        <v>27</v>
      </c>
      <c r="D457" t="s">
        <v>512</v>
      </c>
      <c r="E457">
        <v>3</v>
      </c>
      <c r="F457">
        <v>25</v>
      </c>
      <c r="G457">
        <v>3</v>
      </c>
      <c r="H457">
        <v>8.33</v>
      </c>
    </row>
    <row r="458" spans="1:8">
      <c r="A458">
        <v>457</v>
      </c>
      <c r="B458">
        <v>2021</v>
      </c>
      <c r="C458" t="s">
        <v>32</v>
      </c>
      <c r="D458" t="s">
        <v>512</v>
      </c>
      <c r="E458">
        <v>4</v>
      </c>
      <c r="F458">
        <v>43</v>
      </c>
      <c r="G458">
        <v>1</v>
      </c>
      <c r="H458">
        <v>10.75</v>
      </c>
    </row>
    <row r="459" spans="1:8">
      <c r="A459">
        <v>458</v>
      </c>
      <c r="B459">
        <v>2022</v>
      </c>
      <c r="C459" t="s">
        <v>14</v>
      </c>
      <c r="D459" t="s">
        <v>510</v>
      </c>
      <c r="E459">
        <v>2</v>
      </c>
      <c r="F459">
        <v>34</v>
      </c>
      <c r="G459">
        <v>3</v>
      </c>
      <c r="H459">
        <v>17</v>
      </c>
    </row>
    <row r="460" spans="1:8">
      <c r="A460">
        <v>459</v>
      </c>
      <c r="B460">
        <v>2023</v>
      </c>
      <c r="C460" t="s">
        <v>14</v>
      </c>
      <c r="D460" t="s">
        <v>512</v>
      </c>
      <c r="E460">
        <v>2</v>
      </c>
      <c r="F460">
        <v>12</v>
      </c>
      <c r="G460">
        <v>1</v>
      </c>
      <c r="H460">
        <v>6</v>
      </c>
    </row>
    <row r="461" spans="1:8">
      <c r="A461">
        <v>460</v>
      </c>
      <c r="B461">
        <v>2025</v>
      </c>
      <c r="C461" t="s">
        <v>22</v>
      </c>
      <c r="D461" t="s">
        <v>514</v>
      </c>
      <c r="E461">
        <v>2</v>
      </c>
      <c r="F461">
        <v>27</v>
      </c>
      <c r="G461">
        <v>1</v>
      </c>
      <c r="H461">
        <v>13.5</v>
      </c>
    </row>
    <row r="462" spans="1:8">
      <c r="A462">
        <v>461</v>
      </c>
      <c r="B462">
        <v>2023</v>
      </c>
      <c r="C462" t="s">
        <v>50</v>
      </c>
      <c r="D462" t="s">
        <v>516</v>
      </c>
      <c r="E462">
        <v>2</v>
      </c>
      <c r="F462">
        <v>16</v>
      </c>
      <c r="G462">
        <v>4</v>
      </c>
      <c r="H462">
        <v>8</v>
      </c>
    </row>
    <row r="463" spans="1:8">
      <c r="A463">
        <v>462</v>
      </c>
      <c r="B463">
        <v>2023</v>
      </c>
      <c r="C463" t="s">
        <v>56</v>
      </c>
      <c r="D463" t="s">
        <v>507</v>
      </c>
      <c r="E463">
        <v>4</v>
      </c>
      <c r="F463">
        <v>15</v>
      </c>
      <c r="G463">
        <v>1</v>
      </c>
      <c r="H463">
        <v>3.75</v>
      </c>
    </row>
    <row r="464" spans="1:8">
      <c r="A464">
        <v>463</v>
      </c>
      <c r="B464">
        <v>2023</v>
      </c>
      <c r="C464" t="s">
        <v>27</v>
      </c>
      <c r="D464" t="s">
        <v>515</v>
      </c>
      <c r="E464">
        <v>4</v>
      </c>
      <c r="F464">
        <v>38</v>
      </c>
      <c r="G464">
        <v>1</v>
      </c>
      <c r="H464">
        <v>9.5</v>
      </c>
    </row>
    <row r="465" spans="1:8">
      <c r="A465">
        <v>464</v>
      </c>
      <c r="B465">
        <v>2024</v>
      </c>
      <c r="C465" t="s">
        <v>15</v>
      </c>
      <c r="D465" t="s">
        <v>513</v>
      </c>
      <c r="E465">
        <v>3</v>
      </c>
      <c r="F465">
        <v>19</v>
      </c>
      <c r="G465">
        <v>1</v>
      </c>
      <c r="H465">
        <v>6.33</v>
      </c>
    </row>
    <row r="466" spans="1:8">
      <c r="A466">
        <v>465</v>
      </c>
      <c r="B466">
        <v>2023</v>
      </c>
      <c r="C466" t="s">
        <v>14</v>
      </c>
      <c r="D466" t="s">
        <v>517</v>
      </c>
      <c r="E466">
        <v>4</v>
      </c>
      <c r="F466">
        <v>27</v>
      </c>
      <c r="G466">
        <v>5</v>
      </c>
      <c r="H466">
        <v>6.75</v>
      </c>
    </row>
    <row r="467" spans="1:8">
      <c r="A467">
        <v>466</v>
      </c>
      <c r="B467">
        <v>2024</v>
      </c>
      <c r="C467" t="s">
        <v>36</v>
      </c>
      <c r="D467" t="s">
        <v>512</v>
      </c>
      <c r="E467">
        <v>2</v>
      </c>
      <c r="F467">
        <v>12</v>
      </c>
      <c r="G467">
        <v>0</v>
      </c>
      <c r="H467">
        <v>6</v>
      </c>
    </row>
    <row r="468" spans="1:8">
      <c r="A468">
        <v>467</v>
      </c>
      <c r="B468">
        <v>2021</v>
      </c>
      <c r="C468" t="s">
        <v>36</v>
      </c>
      <c r="D468" t="s">
        <v>506</v>
      </c>
      <c r="E468">
        <v>2</v>
      </c>
      <c r="F468">
        <v>42</v>
      </c>
      <c r="G468">
        <v>3</v>
      </c>
      <c r="H468">
        <v>21</v>
      </c>
    </row>
    <row r="469" spans="1:8">
      <c r="A469">
        <v>468</v>
      </c>
      <c r="B469">
        <v>2022</v>
      </c>
      <c r="C469" t="s">
        <v>27</v>
      </c>
      <c r="D469" t="s">
        <v>516</v>
      </c>
      <c r="E469">
        <v>2</v>
      </c>
      <c r="F469">
        <v>11</v>
      </c>
      <c r="G469">
        <v>1</v>
      </c>
      <c r="H469">
        <v>5.5</v>
      </c>
    </row>
    <row r="470" spans="1:8">
      <c r="A470">
        <v>469</v>
      </c>
      <c r="B470">
        <v>2022</v>
      </c>
      <c r="C470" t="s">
        <v>32</v>
      </c>
      <c r="D470" t="s">
        <v>518</v>
      </c>
      <c r="E470">
        <v>2</v>
      </c>
      <c r="F470">
        <v>32</v>
      </c>
      <c r="G470">
        <v>5</v>
      </c>
      <c r="H470">
        <v>16</v>
      </c>
    </row>
    <row r="471" spans="1:8">
      <c r="A471">
        <v>470</v>
      </c>
      <c r="B471">
        <v>2024</v>
      </c>
      <c r="C471" t="s">
        <v>15</v>
      </c>
      <c r="D471" t="s">
        <v>508</v>
      </c>
      <c r="E471">
        <v>4</v>
      </c>
      <c r="F471">
        <v>34</v>
      </c>
      <c r="G471">
        <v>5</v>
      </c>
      <c r="H471">
        <v>8.5</v>
      </c>
    </row>
    <row r="472" spans="1:8">
      <c r="A472">
        <v>471</v>
      </c>
      <c r="B472">
        <v>2021</v>
      </c>
      <c r="C472" t="s">
        <v>21</v>
      </c>
      <c r="D472" t="s">
        <v>515</v>
      </c>
      <c r="E472">
        <v>2</v>
      </c>
      <c r="F472">
        <v>17</v>
      </c>
      <c r="G472">
        <v>1</v>
      </c>
      <c r="H472">
        <v>8.5</v>
      </c>
    </row>
    <row r="473" spans="1:8">
      <c r="A473">
        <v>472</v>
      </c>
      <c r="B473">
        <v>2025</v>
      </c>
      <c r="C473" t="s">
        <v>21</v>
      </c>
      <c r="D473" t="s">
        <v>506</v>
      </c>
      <c r="E473">
        <v>3</v>
      </c>
      <c r="F473">
        <v>14</v>
      </c>
      <c r="G473">
        <v>4</v>
      </c>
      <c r="H473">
        <v>4.67</v>
      </c>
    </row>
    <row r="474" spans="1:8">
      <c r="A474">
        <v>473</v>
      </c>
      <c r="B474">
        <v>2022</v>
      </c>
      <c r="C474" t="s">
        <v>56</v>
      </c>
      <c r="D474" t="s">
        <v>512</v>
      </c>
      <c r="E474">
        <v>3</v>
      </c>
      <c r="F474">
        <v>15</v>
      </c>
      <c r="G474">
        <v>0</v>
      </c>
      <c r="H474">
        <v>5</v>
      </c>
    </row>
    <row r="475" spans="1:8">
      <c r="A475">
        <v>474</v>
      </c>
      <c r="B475">
        <v>2021</v>
      </c>
      <c r="C475" t="s">
        <v>50</v>
      </c>
      <c r="D475" t="s">
        <v>505</v>
      </c>
      <c r="E475">
        <v>2</v>
      </c>
      <c r="F475">
        <v>37</v>
      </c>
      <c r="G475">
        <v>4</v>
      </c>
      <c r="H475">
        <v>18.5</v>
      </c>
    </row>
    <row r="476" spans="1:8">
      <c r="A476">
        <v>475</v>
      </c>
      <c r="B476">
        <v>2025</v>
      </c>
      <c r="C476" t="s">
        <v>56</v>
      </c>
      <c r="D476" t="s">
        <v>510</v>
      </c>
      <c r="E476">
        <v>2</v>
      </c>
      <c r="F476">
        <v>37</v>
      </c>
      <c r="G476">
        <v>1</v>
      </c>
      <c r="H476">
        <v>18.5</v>
      </c>
    </row>
    <row r="477" spans="1:8">
      <c r="A477">
        <v>476</v>
      </c>
      <c r="B477">
        <v>2023</v>
      </c>
      <c r="C477" t="s">
        <v>15</v>
      </c>
      <c r="D477" t="s">
        <v>510</v>
      </c>
      <c r="E477">
        <v>3</v>
      </c>
      <c r="F477">
        <v>32</v>
      </c>
      <c r="G477">
        <v>0</v>
      </c>
      <c r="H477">
        <v>10.67</v>
      </c>
    </row>
    <row r="478" spans="1:8">
      <c r="A478">
        <v>477</v>
      </c>
      <c r="B478">
        <v>2024</v>
      </c>
      <c r="C478" t="s">
        <v>15</v>
      </c>
      <c r="D478" t="s">
        <v>511</v>
      </c>
      <c r="E478">
        <v>3</v>
      </c>
      <c r="F478">
        <v>33</v>
      </c>
      <c r="G478">
        <v>2</v>
      </c>
      <c r="H478">
        <v>11</v>
      </c>
    </row>
    <row r="479" spans="1:8">
      <c r="A479">
        <v>478</v>
      </c>
      <c r="B479">
        <v>2024</v>
      </c>
      <c r="C479" t="s">
        <v>21</v>
      </c>
      <c r="D479" t="s">
        <v>514</v>
      </c>
      <c r="E479">
        <v>2</v>
      </c>
      <c r="F479">
        <v>19</v>
      </c>
      <c r="G479">
        <v>5</v>
      </c>
      <c r="H479">
        <v>9.5</v>
      </c>
    </row>
    <row r="480" spans="1:8">
      <c r="A480">
        <v>479</v>
      </c>
      <c r="B480">
        <v>2024</v>
      </c>
      <c r="C480" t="s">
        <v>27</v>
      </c>
      <c r="D480" t="s">
        <v>513</v>
      </c>
      <c r="E480">
        <v>2</v>
      </c>
      <c r="F480">
        <v>34</v>
      </c>
      <c r="G480">
        <v>3</v>
      </c>
      <c r="H480">
        <v>17</v>
      </c>
    </row>
    <row r="481" spans="1:8">
      <c r="A481">
        <v>480</v>
      </c>
      <c r="B481">
        <v>2021</v>
      </c>
      <c r="C481" t="s">
        <v>47</v>
      </c>
      <c r="D481" t="s">
        <v>507</v>
      </c>
      <c r="E481">
        <v>2</v>
      </c>
      <c r="F481">
        <v>17</v>
      </c>
      <c r="G481">
        <v>4</v>
      </c>
      <c r="H481">
        <v>8.5</v>
      </c>
    </row>
    <row r="482" spans="1:8">
      <c r="A482">
        <v>481</v>
      </c>
      <c r="B482">
        <v>2023</v>
      </c>
      <c r="C482" t="s">
        <v>32</v>
      </c>
      <c r="D482" t="s">
        <v>41</v>
      </c>
      <c r="E482">
        <v>3</v>
      </c>
      <c r="F482">
        <v>19</v>
      </c>
      <c r="G482">
        <v>0</v>
      </c>
      <c r="H482">
        <v>6.33</v>
      </c>
    </row>
    <row r="483" spans="1:8">
      <c r="A483">
        <v>482</v>
      </c>
      <c r="B483">
        <v>2022</v>
      </c>
      <c r="C483" t="s">
        <v>56</v>
      </c>
      <c r="D483" t="s">
        <v>505</v>
      </c>
      <c r="E483">
        <v>2</v>
      </c>
      <c r="F483">
        <v>34</v>
      </c>
      <c r="G483">
        <v>2</v>
      </c>
      <c r="H483">
        <v>17</v>
      </c>
    </row>
    <row r="484" spans="1:8">
      <c r="A484">
        <v>483</v>
      </c>
      <c r="B484">
        <v>2021</v>
      </c>
      <c r="C484" t="s">
        <v>56</v>
      </c>
      <c r="D484" t="s">
        <v>515</v>
      </c>
      <c r="E484">
        <v>3</v>
      </c>
      <c r="F484">
        <v>40</v>
      </c>
      <c r="G484">
        <v>5</v>
      </c>
      <c r="H484">
        <v>13.33</v>
      </c>
    </row>
    <row r="485" spans="1:8">
      <c r="A485">
        <v>484</v>
      </c>
      <c r="B485">
        <v>2023</v>
      </c>
      <c r="C485" t="s">
        <v>32</v>
      </c>
      <c r="D485" t="s">
        <v>510</v>
      </c>
      <c r="E485">
        <v>4</v>
      </c>
      <c r="F485">
        <v>31</v>
      </c>
      <c r="G485">
        <v>1</v>
      </c>
      <c r="H485">
        <v>7.75</v>
      </c>
    </row>
    <row r="486" spans="1:8">
      <c r="A486">
        <v>485</v>
      </c>
      <c r="B486">
        <v>2022</v>
      </c>
      <c r="C486" t="s">
        <v>22</v>
      </c>
      <c r="D486" t="s">
        <v>518</v>
      </c>
      <c r="E486">
        <v>3</v>
      </c>
      <c r="F486">
        <v>45</v>
      </c>
      <c r="G486">
        <v>3</v>
      </c>
      <c r="H486">
        <v>15</v>
      </c>
    </row>
    <row r="487" spans="1:8">
      <c r="A487">
        <v>486</v>
      </c>
      <c r="B487">
        <v>2021</v>
      </c>
      <c r="C487" t="s">
        <v>36</v>
      </c>
      <c r="D487" t="s">
        <v>517</v>
      </c>
      <c r="E487">
        <v>3</v>
      </c>
      <c r="F487">
        <v>44</v>
      </c>
      <c r="G487">
        <v>4</v>
      </c>
      <c r="H487">
        <v>14.67</v>
      </c>
    </row>
    <row r="488" spans="1:8">
      <c r="A488">
        <v>487</v>
      </c>
      <c r="B488">
        <v>2023</v>
      </c>
      <c r="C488" t="s">
        <v>22</v>
      </c>
      <c r="D488" t="s">
        <v>518</v>
      </c>
      <c r="E488">
        <v>2</v>
      </c>
      <c r="F488">
        <v>47</v>
      </c>
      <c r="G488">
        <v>5</v>
      </c>
      <c r="H488">
        <v>23.5</v>
      </c>
    </row>
    <row r="489" spans="1:8">
      <c r="A489">
        <v>488</v>
      </c>
      <c r="B489">
        <v>2024</v>
      </c>
      <c r="C489" t="s">
        <v>32</v>
      </c>
      <c r="D489" t="s">
        <v>517</v>
      </c>
      <c r="E489">
        <v>4</v>
      </c>
      <c r="F489">
        <v>24</v>
      </c>
      <c r="G489">
        <v>5</v>
      </c>
      <c r="H489">
        <v>6</v>
      </c>
    </row>
    <row r="490" spans="1:8">
      <c r="A490">
        <v>489</v>
      </c>
      <c r="B490">
        <v>2021</v>
      </c>
      <c r="C490" t="s">
        <v>21</v>
      </c>
      <c r="D490" t="s">
        <v>508</v>
      </c>
      <c r="E490">
        <v>3</v>
      </c>
      <c r="F490">
        <v>10</v>
      </c>
      <c r="G490">
        <v>1</v>
      </c>
      <c r="H490">
        <v>3.33</v>
      </c>
    </row>
    <row r="491" spans="1:8">
      <c r="A491">
        <v>490</v>
      </c>
      <c r="B491">
        <v>2023</v>
      </c>
      <c r="C491" t="s">
        <v>14</v>
      </c>
      <c r="D491" t="s">
        <v>513</v>
      </c>
      <c r="E491">
        <v>4</v>
      </c>
      <c r="F491">
        <v>40</v>
      </c>
      <c r="G491">
        <v>1</v>
      </c>
      <c r="H491">
        <v>10</v>
      </c>
    </row>
    <row r="492" spans="1:8">
      <c r="A492">
        <v>491</v>
      </c>
      <c r="B492">
        <v>2023</v>
      </c>
      <c r="C492" t="s">
        <v>21</v>
      </c>
      <c r="D492" t="s">
        <v>516</v>
      </c>
      <c r="E492">
        <v>3</v>
      </c>
      <c r="F492">
        <v>33</v>
      </c>
      <c r="G492">
        <v>1</v>
      </c>
      <c r="H492">
        <v>11</v>
      </c>
    </row>
    <row r="493" spans="1:8">
      <c r="A493">
        <v>492</v>
      </c>
      <c r="B493">
        <v>2021</v>
      </c>
      <c r="C493" t="s">
        <v>15</v>
      </c>
      <c r="D493" t="s">
        <v>515</v>
      </c>
      <c r="E493">
        <v>2</v>
      </c>
      <c r="F493">
        <v>45</v>
      </c>
      <c r="G493">
        <v>3</v>
      </c>
      <c r="H493">
        <v>22.5</v>
      </c>
    </row>
    <row r="494" spans="1:8">
      <c r="A494">
        <v>493</v>
      </c>
      <c r="B494">
        <v>2021</v>
      </c>
      <c r="C494" t="s">
        <v>22</v>
      </c>
      <c r="D494" t="s">
        <v>508</v>
      </c>
      <c r="E494">
        <v>2</v>
      </c>
      <c r="F494">
        <v>13</v>
      </c>
      <c r="G494">
        <v>5</v>
      </c>
      <c r="H494">
        <v>6.5</v>
      </c>
    </row>
    <row r="495" spans="1:8">
      <c r="A495">
        <v>494</v>
      </c>
      <c r="B495">
        <v>2024</v>
      </c>
      <c r="C495" t="s">
        <v>27</v>
      </c>
      <c r="D495" t="s">
        <v>512</v>
      </c>
      <c r="E495">
        <v>4</v>
      </c>
      <c r="F495">
        <v>19</v>
      </c>
      <c r="G495">
        <v>3</v>
      </c>
      <c r="H495">
        <v>4.75</v>
      </c>
    </row>
    <row r="496" spans="1:8">
      <c r="A496">
        <v>495</v>
      </c>
      <c r="B496">
        <v>2024</v>
      </c>
      <c r="C496" t="s">
        <v>14</v>
      </c>
      <c r="D496" t="s">
        <v>41</v>
      </c>
      <c r="E496">
        <v>3</v>
      </c>
      <c r="F496">
        <v>33</v>
      </c>
      <c r="G496">
        <v>0</v>
      </c>
      <c r="H496">
        <v>11</v>
      </c>
    </row>
    <row r="497" spans="1:8">
      <c r="A497">
        <v>496</v>
      </c>
      <c r="B497">
        <v>2021</v>
      </c>
      <c r="C497" t="s">
        <v>21</v>
      </c>
      <c r="D497" t="s">
        <v>509</v>
      </c>
      <c r="E497">
        <v>4</v>
      </c>
      <c r="F497">
        <v>14</v>
      </c>
      <c r="G497">
        <v>3</v>
      </c>
      <c r="H497">
        <v>3.5</v>
      </c>
    </row>
    <row r="498" spans="1:8">
      <c r="A498">
        <v>497</v>
      </c>
      <c r="B498">
        <v>2025</v>
      </c>
      <c r="C498" t="s">
        <v>50</v>
      </c>
      <c r="D498" t="s">
        <v>507</v>
      </c>
      <c r="E498">
        <v>2</v>
      </c>
      <c r="F498">
        <v>11</v>
      </c>
      <c r="G498">
        <v>1</v>
      </c>
      <c r="H498">
        <v>5.5</v>
      </c>
    </row>
    <row r="499" spans="1:8">
      <c r="A499">
        <v>498</v>
      </c>
      <c r="B499">
        <v>2025</v>
      </c>
      <c r="C499" t="s">
        <v>56</v>
      </c>
      <c r="D499" t="s">
        <v>505</v>
      </c>
      <c r="E499">
        <v>2</v>
      </c>
      <c r="F499">
        <v>25</v>
      </c>
      <c r="G499">
        <v>0</v>
      </c>
      <c r="H499">
        <v>12.5</v>
      </c>
    </row>
    <row r="500" spans="1:8">
      <c r="A500">
        <v>499</v>
      </c>
      <c r="B500">
        <v>2021</v>
      </c>
      <c r="C500" t="s">
        <v>14</v>
      </c>
      <c r="D500" t="s">
        <v>510</v>
      </c>
      <c r="E500">
        <v>3</v>
      </c>
      <c r="F500">
        <v>19</v>
      </c>
      <c r="G500">
        <v>1</v>
      </c>
      <c r="H500">
        <v>6.33</v>
      </c>
    </row>
    <row r="501" spans="1:8">
      <c r="A501">
        <v>500</v>
      </c>
      <c r="B501">
        <v>2023</v>
      </c>
      <c r="C501" t="s">
        <v>47</v>
      </c>
      <c r="D501" t="s">
        <v>41</v>
      </c>
      <c r="E501">
        <v>2</v>
      </c>
      <c r="F501">
        <v>43</v>
      </c>
      <c r="G501">
        <v>5</v>
      </c>
      <c r="H501">
        <v>21.5</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pane ySplit="1" topLeftCell="A2" activePane="bottomLeft" state="frozen"/>
      <selection pane="bottomLeft" activeCell="A2" sqref="A2"/>
    </sheetView>
  </sheetViews>
  <sheetFormatPr defaultRowHeight="14.5"/>
  <cols>
    <col min="1" max="2" width="12" customWidth="1"/>
  </cols>
  <sheetData>
    <row r="1" spans="1:2">
      <c r="A1" s="3" t="s">
        <v>8</v>
      </c>
      <c r="B1" s="3" t="s">
        <v>519</v>
      </c>
    </row>
    <row r="2" spans="1:2">
      <c r="A2" t="s">
        <v>50</v>
      </c>
      <c r="B2">
        <v>58</v>
      </c>
    </row>
    <row r="3" spans="1:2">
      <c r="A3" t="s">
        <v>22</v>
      </c>
      <c r="B3">
        <v>56</v>
      </c>
    </row>
    <row r="4" spans="1:2">
      <c r="A4" t="s">
        <v>47</v>
      </c>
      <c r="B4">
        <v>56</v>
      </c>
    </row>
    <row r="5" spans="1:2">
      <c r="A5" t="s">
        <v>32</v>
      </c>
      <c r="B5">
        <v>54</v>
      </c>
    </row>
    <row r="6" spans="1:2">
      <c r="A6" t="s">
        <v>21</v>
      </c>
      <c r="B6">
        <v>54</v>
      </c>
    </row>
    <row r="7" spans="1:2">
      <c r="A7" t="s">
        <v>36</v>
      </c>
      <c r="B7">
        <v>49</v>
      </c>
    </row>
    <row r="8" spans="1:2">
      <c r="A8" t="s">
        <v>15</v>
      </c>
      <c r="B8">
        <v>49</v>
      </c>
    </row>
    <row r="9" spans="1:2">
      <c r="A9" t="s">
        <v>14</v>
      </c>
      <c r="B9">
        <v>47</v>
      </c>
    </row>
    <row r="10" spans="1:2">
      <c r="A10" t="s">
        <v>56</v>
      </c>
      <c r="B10">
        <v>41</v>
      </c>
    </row>
    <row r="11" spans="1:2">
      <c r="A11" t="s">
        <v>27</v>
      </c>
      <c r="B11">
        <v>36</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pane ySplit="1" topLeftCell="A2" activePane="bottomLeft" state="frozen"/>
      <selection pane="bottomLeft" activeCell="B8" sqref="B8"/>
    </sheetView>
  </sheetViews>
  <sheetFormatPr defaultRowHeight="14.5"/>
  <cols>
    <col min="1" max="2" width="12" customWidth="1"/>
  </cols>
  <sheetData>
    <row r="1" spans="1:2">
      <c r="A1" s="1" t="s">
        <v>1</v>
      </c>
      <c r="B1" s="1" t="s">
        <v>520</v>
      </c>
    </row>
    <row r="2" spans="1:2">
      <c r="A2">
        <v>2021</v>
      </c>
      <c r="B2">
        <v>95</v>
      </c>
    </row>
    <row r="3" spans="1:2">
      <c r="A3">
        <v>2022</v>
      </c>
      <c r="B3">
        <v>95</v>
      </c>
    </row>
    <row r="4" spans="1:2">
      <c r="A4">
        <v>2023</v>
      </c>
      <c r="B4">
        <v>121</v>
      </c>
    </row>
    <row r="5" spans="1:2">
      <c r="A5">
        <v>2024</v>
      </c>
      <c r="B5">
        <v>91</v>
      </c>
    </row>
    <row r="6" spans="1:2">
      <c r="A6">
        <v>2025</v>
      </c>
      <c r="B6">
        <v>98</v>
      </c>
    </row>
    <row r="7" spans="1:2">
      <c r="B7">
        <f>SUM(B2:B6)</f>
        <v>500</v>
      </c>
    </row>
  </sheetData>
  <autoFilter ref="A1:B6" xr:uid="{00000000-0009-0000-0000-000004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pane ySplit="1" topLeftCell="A2" activePane="bottomLeft" state="frozen"/>
      <selection pane="bottomLeft"/>
    </sheetView>
  </sheetViews>
  <sheetFormatPr defaultRowHeight="14.5"/>
  <cols>
    <col min="1" max="1" width="18" customWidth="1"/>
    <col min="2" max="2" width="12" customWidth="1"/>
  </cols>
  <sheetData>
    <row r="1" spans="1:2">
      <c r="A1" s="1" t="s">
        <v>496</v>
      </c>
      <c r="B1" s="1" t="s">
        <v>18</v>
      </c>
    </row>
    <row r="2" spans="1:2">
      <c r="A2" t="s">
        <v>29</v>
      </c>
      <c r="B2">
        <v>1675</v>
      </c>
    </row>
    <row r="3" spans="1:2">
      <c r="A3" t="s">
        <v>152</v>
      </c>
      <c r="B3">
        <v>1487</v>
      </c>
    </row>
    <row r="4" spans="1:2">
      <c r="A4" t="s">
        <v>87</v>
      </c>
      <c r="B4">
        <v>1414</v>
      </c>
    </row>
    <row r="5" spans="1:2">
      <c r="A5" t="s">
        <v>17</v>
      </c>
      <c r="B5">
        <v>1358</v>
      </c>
    </row>
    <row r="6" spans="1:2">
      <c r="A6" t="s">
        <v>116</v>
      </c>
      <c r="B6">
        <v>1355</v>
      </c>
    </row>
    <row r="7" spans="1:2">
      <c r="A7" t="s">
        <v>33</v>
      </c>
      <c r="B7">
        <v>1348</v>
      </c>
    </row>
    <row r="8" spans="1:2">
      <c r="A8" t="s">
        <v>44</v>
      </c>
      <c r="B8">
        <v>1347</v>
      </c>
    </row>
    <row r="9" spans="1:2">
      <c r="A9" t="s">
        <v>39</v>
      </c>
      <c r="B9">
        <v>1330</v>
      </c>
    </row>
    <row r="10" spans="1:2">
      <c r="A10" t="s">
        <v>41</v>
      </c>
      <c r="B10">
        <v>1251</v>
      </c>
    </row>
    <row r="11" spans="1:2">
      <c r="A11" t="s">
        <v>57</v>
      </c>
      <c r="B11">
        <v>1195</v>
      </c>
    </row>
  </sheetData>
  <autoFilter ref="A1:B11" xr:uid="{00000000-0009-0000-0000-000005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pane ySplit="1" topLeftCell="A2" activePane="bottomLeft" state="frozen"/>
      <selection pane="bottomLeft"/>
    </sheetView>
  </sheetViews>
  <sheetFormatPr defaultRowHeight="14.5"/>
  <cols>
    <col min="1" max="1" width="21" customWidth="1"/>
    <col min="2" max="2" width="12" customWidth="1"/>
  </cols>
  <sheetData>
    <row r="1" spans="1:2">
      <c r="A1" s="1" t="s">
        <v>501</v>
      </c>
      <c r="B1" s="1" t="s">
        <v>24</v>
      </c>
    </row>
    <row r="2" spans="1:2">
      <c r="A2" t="s">
        <v>41</v>
      </c>
      <c r="B2">
        <v>110</v>
      </c>
    </row>
    <row r="3" spans="1:2">
      <c r="A3" t="s">
        <v>512</v>
      </c>
      <c r="B3">
        <v>103</v>
      </c>
    </row>
    <row r="4" spans="1:2">
      <c r="A4" t="s">
        <v>505</v>
      </c>
      <c r="B4">
        <v>100</v>
      </c>
    </row>
    <row r="5" spans="1:2">
      <c r="A5" t="s">
        <v>508</v>
      </c>
      <c r="B5">
        <v>99</v>
      </c>
    </row>
    <row r="6" spans="1:2">
      <c r="A6" t="s">
        <v>506</v>
      </c>
      <c r="B6">
        <v>89</v>
      </c>
    </row>
    <row r="7" spans="1:2">
      <c r="A7" t="s">
        <v>514</v>
      </c>
      <c r="B7">
        <v>86</v>
      </c>
    </row>
    <row r="8" spans="1:2">
      <c r="A8" t="s">
        <v>509</v>
      </c>
      <c r="B8">
        <v>80</v>
      </c>
    </row>
    <row r="9" spans="1:2">
      <c r="A9" t="s">
        <v>511</v>
      </c>
      <c r="B9">
        <v>75</v>
      </c>
    </row>
    <row r="10" spans="1:2">
      <c r="A10" t="s">
        <v>510</v>
      </c>
      <c r="B10">
        <v>73</v>
      </c>
    </row>
    <row r="11" spans="1:2">
      <c r="A11" t="s">
        <v>518</v>
      </c>
      <c r="B11">
        <v>72</v>
      </c>
    </row>
  </sheetData>
  <autoFilter ref="A1:B11" xr:uid="{00000000-0009-0000-0000-000006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pane ySplit="1" topLeftCell="A2" activePane="bottomLeft" state="frozen"/>
      <selection pane="bottomLeft" activeCell="B1" sqref="B1"/>
    </sheetView>
  </sheetViews>
  <sheetFormatPr defaultRowHeight="14.5"/>
  <cols>
    <col min="1" max="1" width="32" customWidth="1"/>
    <col min="2" max="2" width="23.7265625" bestFit="1" customWidth="1"/>
  </cols>
  <sheetData>
    <row r="1" spans="1:2">
      <c r="A1" s="1" t="s">
        <v>528</v>
      </c>
      <c r="B1" s="1" t="s">
        <v>529</v>
      </c>
    </row>
    <row r="2" spans="1:2">
      <c r="A2" t="s">
        <v>530</v>
      </c>
      <c r="B2" t="s">
        <v>531</v>
      </c>
    </row>
    <row r="3" spans="1:2">
      <c r="A3" t="s">
        <v>532</v>
      </c>
      <c r="B3" t="s">
        <v>533</v>
      </c>
    </row>
    <row r="4" spans="1:2">
      <c r="A4" t="s">
        <v>534</v>
      </c>
      <c r="B4" t="s">
        <v>535</v>
      </c>
    </row>
    <row r="5" spans="1:2">
      <c r="A5" t="s">
        <v>536</v>
      </c>
      <c r="B5" t="s">
        <v>537</v>
      </c>
    </row>
    <row r="6" spans="1:2">
      <c r="A6" t="s">
        <v>538</v>
      </c>
      <c r="B6" t="s">
        <v>537</v>
      </c>
    </row>
    <row r="7" spans="1:2">
      <c r="A7" t="s">
        <v>539</v>
      </c>
      <c r="B7" t="s">
        <v>540</v>
      </c>
    </row>
    <row r="8" spans="1:2">
      <c r="A8" t="s">
        <v>541</v>
      </c>
      <c r="B8" t="s">
        <v>542</v>
      </c>
    </row>
    <row r="9" spans="1:2">
      <c r="A9" t="s">
        <v>543</v>
      </c>
      <c r="B9" t="s">
        <v>544</v>
      </c>
    </row>
  </sheetData>
  <autoFilter ref="A1:B9"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 1</vt:lpstr>
      <vt:lpstr>pivot table2</vt:lpstr>
      <vt:lpstr>questions</vt:lpstr>
      <vt:lpstr>toss decesion</vt:lpstr>
      <vt:lpstr>Dashboard_KPIs</vt:lpstr>
      <vt:lpstr>match by season</vt:lpstr>
      <vt:lpstr>Matches</vt:lpstr>
      <vt:lpstr>Batting_Data</vt:lpstr>
      <vt:lpstr>Bowling_Data</vt:lpstr>
      <vt:lpstr>Team_Wins</vt:lpstr>
      <vt:lpstr>Season_Analysis</vt:lpstr>
      <vt:lpstr>Top_Batsmen</vt:lpstr>
      <vt:lpstr>Top_Bowlers</vt:lpstr>
      <vt:lpstr>Dashboard_Plan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raman pareek</cp:lastModifiedBy>
  <dcterms:created xsi:type="dcterms:W3CDTF">2026-09-01T14:20:20Z</dcterms:created>
  <dcterms:modified xsi:type="dcterms:W3CDTF">2026-09-04T15:57:37Z</dcterms:modified>
</cp:coreProperties>
</file>